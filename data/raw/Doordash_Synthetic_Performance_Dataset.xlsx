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77e5087e0c4a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ift_Data" sheetId="1" r:id="Rc3c93bd4c706439c"/>
    <x:sheet xmlns:r="http://schemas.openxmlformats.org/officeDocument/2006/relationships" name="Analysis_Guide" sheetId="2" r:id="R14037e33c9dd4e33"/>
    <x:sheet xmlns:r="http://schemas.openxmlformats.org/officeDocument/2006/relationships" name="Strategy_Rules" sheetId="3" r:id="Rea24d243386249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mm/dd/yyyy"/>
    <x:numFmt numFmtId="201" formatCode="h:mm AM/PM"/>
    <x:numFmt numFmtId="202" formatCode="0.00"/>
    <x:numFmt numFmtId="203" formatCode="$0.00"/>
    <x:numFmt numFmtId="204" formatCode="0.0"/>
    <x:numFmt numFmtId="205" formatCode="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1182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B91C1C"/>
      </x:patternFill>
    </x:fill>
    <x:fill>
      <x:patternFill patternType="solid">
        <x:fgColor rgb="FF111827"/>
      </x:patternFill>
    </x:fill>
    <x:fill>
      <x:patternFill patternType="solid">
        <x:fgColor rgb="FFF3F4F6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d46f919d9b4ea8" /><Relationship Type="http://schemas.openxmlformats.org/officeDocument/2006/relationships/theme" Target="/xl/theme/theme1.xml" Id="Reb7a37a1e60048e0" /><Relationship Type="http://schemas.openxmlformats.org/officeDocument/2006/relationships/sharedStrings" Target="/xl/sharedStrings.xml" Id="R4053da553e05459c" /><Relationship Type="http://schemas.openxmlformats.org/officeDocument/2006/relationships/worksheet" Target="/xl/worksheets/sheet1.xml" Id="Rc3c93bd4c706439c" /><Relationship Type="http://schemas.openxmlformats.org/officeDocument/2006/relationships/worksheet" Target="/xl/worksheets/sheet2.xml" Id="R14037e33c9dd4e33" /><Relationship Type="http://schemas.openxmlformats.org/officeDocument/2006/relationships/worksheet" Target="/xl/worksheets/sheet3.xml" Id="Rea24d24338624944" /></Relationships>
</file>

<file path=xl/tables/table1.xml><?xml version="1.0" encoding="utf-8"?>
<x:table xmlns:x="http://schemas.openxmlformats.org/spreadsheetml/2006/main" id="1" name="DoorDashShiftTable" displayName="DoorDashShiftTable" ref="A1:L119" headerRowCount="1">
  <x:tableColumns count="12">
    <x:tableColumn id="1" name="shift_date"/>
    <x:tableColumn id="2" name="shift_type"/>
    <x:tableColumn id="3" name="start_time"/>
    <x:tableColumn id="4" name="end_time"/>
    <x:tableColumn id="5" name="hours_worked"/>
    <x:tableColumn id="6" name="gross_earnings"/>
    <x:tableColumn id="7" name="estimated_miles"/>
    <x:tableColumn id="8" name="orders_completed"/>
    <x:tableColumn id="9" name="avg_dollars_per_mile"/>
    <x:tableColumn id="10" name="zone"/>
    <x:tableColumn id="11" name="bonus_active"/>
    <x:tableColumn id="12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StrategyRulesTable" displayName="StrategyRulesTable" ref="A1:C8" headerRowCount="1">
  <x:tableColumns count="3">
    <x:tableColumn id="1" name="Rule / Test"/>
    <x:tableColumn id="2" name="How it changes decisions"/>
    <x:tableColumn id="3" name="Expected analytical impac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1d3ca7ed32a41b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e7856d4fb8f4155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9" hidden="0" customWidth="1"/>
    <x:col min="3" max="3" width="12" hidden="0" customWidth="1"/>
    <x:col min="4" max="4" width="12" hidden="0" customWidth="1"/>
    <x:col min="5" max="5" width="14" hidden="0" customWidth="1"/>
    <x:col min="6" max="6" width="15" hidden="0" customWidth="1"/>
    <x:col min="7" max="7" width="15" hidden="0" customWidth="1"/>
    <x:col min="8" max="8" width="16" hidden="0" customWidth="1"/>
    <x:col min="9" max="9" width="20" hidden="0" customWidth="1"/>
    <x:col min="10" max="10" width="18" hidden="0" customWidth="1"/>
    <x:col min="11" max="11" width="14" hidden="0" customWidth="1"/>
    <x:col min="12" max="12" width="44" hidden="0" customWidth="1"/>
  </x:cols>
  <x:sheetData>
    <x:row r="1">
      <x:c r="A1" s="5" t="str">
        <x:v>shift_date</x:v>
      </x:c>
      <x:c r="B1" s="5" t="str">
        <x:v>shift_type</x:v>
      </x:c>
      <x:c r="C1" s="5" t="str">
        <x:v>start_time</x:v>
      </x:c>
      <x:c r="D1" s="5" t="str">
        <x:v>end_time</x:v>
      </x:c>
      <x:c r="E1" s="5" t="str">
        <x:v>hours_worked</x:v>
      </x:c>
      <x:c r="F1" s="5" t="str">
        <x:v>gross_earnings</x:v>
      </x:c>
      <x:c r="G1" s="5" t="str">
        <x:v>estimated_miles</x:v>
      </x:c>
      <x:c r="H1" s="5" t="str">
        <x:v>orders_completed</x:v>
      </x:c>
      <x:c r="I1" s="5" t="str">
        <x:v>avg_dollars_per_mile</x:v>
      </x:c>
      <x:c r="J1" s="5" t="str">
        <x:v>zone</x:v>
      </x:c>
      <x:c r="K1" s="5" t="str">
        <x:v>bonus_active</x:v>
      </x:c>
      <x:c r="L1" s="5" t="str">
        <x:v>notes</x:v>
      </x:c>
    </x:row>
    <x:row r="2">
      <x:c r="A2" s="10" t="n">
        <x:v>45964</x:v>
      </x:c>
      <x:c r="B2" t="str">
        <x:v>Dinner</x:v>
      </x:c>
      <x:c r="C2" s="12" t="n">
        <x:v>45964.708333333336</x:v>
      </x:c>
      <x:c r="D2" s="12" t="n">
        <x:v>45965</x:v>
      </x:c>
      <x:c r="E2" s="14" t="n">
        <x:v>7</x:v>
      </x:c>
      <x:c r="F2" s="16" t="n">
        <x:v>70.74</x:v>
      </x:c>
      <x:c r="G2" s="18" t="n">
        <x:v>73</x:v>
      </x:c>
      <x:c r="H2" s="20" t="n">
        <x:v>12</x:v>
      </x:c>
      <x:c r="I2" s="16" t="n">
        <x:f>IFERROR(F2/G2,0)</x:f>
        <x:v>0.9690410958904109</x:v>
      </x:c>
      <x:c r="J2" t="str">
        <x:v>Southwest</x:v>
      </x:c>
      <x:c r="K2" t="str">
        <x:v>No</x:v>
      </x:c>
      <x:c r="L2" s="22" t="str">
        <x:v>Accepted most offers; several long-distance orders.</x:v>
      </x:c>
    </x:row>
    <x:row r="3">
      <x:c r="A3" s="10" t="n">
        <x:v>45967</x:v>
      </x:c>
      <x:c r="B3" t="str">
        <x:v>Lunch</x:v>
      </x:c>
      <x:c r="C3" s="12" t="n">
        <x:v>45967.447916666664</x:v>
      </x:c>
      <x:c r="D3" s="12" t="n">
        <x:v>45967.708333333336</x:v>
      </x:c>
      <x:c r="E3" s="14" t="n">
        <x:v>6.25</x:v>
      </x:c>
      <x:c r="F3" s="16" t="n">
        <x:v>64.67</x:v>
      </x:c>
      <x:c r="G3" s="18" t="n">
        <x:v>62.4</x:v>
      </x:c>
      <x:c r="H3" s="20" t="n">
        <x:v>10</x:v>
      </x:c>
      <x:c r="I3" s="16" t="n">
        <x:f>IFERROR(F3/G3,0)</x:f>
        <x:v>1.036378205128205</x:v>
      </x:c>
      <x:c r="J3" t="str">
        <x:v>Henderson</x:v>
      </x:c>
      <x:c r="K3" t="str">
        <x:v>No</x:v>
      </x:c>
      <x:c r="L3" s="22" t="str">
        <x:v>Chased a bonus outside the best zone.</x:v>
      </x:c>
    </x:row>
    <x:row r="4">
      <x:c r="A4" s="10" t="n">
        <x:v>45968</x:v>
      </x:c>
      <x:c r="B4" t="str">
        <x:v>Weekend Dinner</x:v>
      </x:c>
      <x:c r="C4" s="12" t="n">
        <x:v>45968.6875</x:v>
      </x:c>
      <x:c r="D4" s="12" t="n">
        <x:v>45968.90625</x:v>
      </x:c>
      <x:c r="E4" s="14" t="n">
        <x:v>5.25</x:v>
      </x:c>
      <x:c r="F4" s="16" t="n">
        <x:v>52.87</x:v>
      </x:c>
      <x:c r="G4" s="18" t="n">
        <x:v>74.6</x:v>
      </x:c>
      <x:c r="H4" s="20" t="n">
        <x:v>9</x:v>
      </x:c>
      <x:c r="I4" s="16" t="n">
        <x:f>IFERROR(F4/G4,0)</x:f>
        <x:v>0.7087131367292225</x:v>
      </x:c>
      <x:c r="J4" t="str">
        <x:v>Henderson</x:v>
      </x:c>
      <x:c r="K4" t="str">
        <x:v>No</x:v>
      </x:c>
      <x:c r="L4" s="22" t="str">
        <x:v>Long shift with weak late-hour demand.</x:v>
      </x:c>
    </x:row>
    <x:row r="5">
      <x:c r="A5" s="10" t="n">
        <x:v>45969</x:v>
      </x:c>
      <x:c r="B5" t="str">
        <x:v>Peak Pay</x:v>
      </x:c>
      <x:c r="C5" s="12" t="n">
        <x:v>45969.729166666664</x:v>
      </x:c>
      <x:c r="D5" s="12" t="n">
        <x:v>45969.9375</x:v>
      </x:c>
      <x:c r="E5" s="14" t="n">
        <x:v>5</x:v>
      </x:c>
      <x:c r="F5" s="16" t="n">
        <x:v>43.73</x:v>
      </x:c>
      <x:c r="G5" s="18" t="n">
        <x:v>57</x:v>
      </x:c>
      <x:c r="H5" s="20" t="n">
        <x:v>7</x:v>
      </x:c>
      <x:c r="I5" s="16" t="n">
        <x:f>IFERROR(F5/G5,0)</x:f>
        <x:v>0.7671929824561403</x:v>
      </x:c>
      <x:c r="J5" t="str">
        <x:v>Summerlin</x:v>
      </x:c>
      <x:c r="K5" t="str">
        <x:v>Yes</x:v>
      </x:c>
      <x:c r="L5" s="22" t="str">
        <x:v>Chased a bonus outside the best zone.</x:v>
      </x:c>
    </x:row>
    <x:row r="6">
      <x:c r="A6" s="10" t="n">
        <x:v>45970</x:v>
      </x:c>
      <x:c r="B6" t="str">
        <x:v>Open Schedule</x:v>
      </x:c>
      <x:c r="C6" s="12" t="n">
        <x:v>45970.604166666664</x:v>
      </x:c>
      <x:c r="D6" s="12" t="n">
        <x:v>45970.833333333336</x:v>
      </x:c>
      <x:c r="E6" s="14" t="n">
        <x:v>5.5</x:v>
      </x:c>
      <x:c r="F6" s="16" t="n">
        <x:v>44.78</x:v>
      </x:c>
      <x:c r="G6" s="18" t="n">
        <x:v>74.9</x:v>
      </x:c>
      <x:c r="H6" s="20" t="n">
        <x:v>7</x:v>
      </x:c>
      <x:c r="I6" s="16" t="n">
        <x:f>IFERROR(F6/G6,0)</x:f>
        <x:v>0.597863818424566</x:v>
      </x:c>
      <x:c r="J6" t="str">
        <x:v>Henderson</x:v>
      </x:c>
      <x:c r="K6" t="str">
        <x:v>No</x:v>
      </x:c>
      <x:c r="L6" s="22" t="str">
        <x:v>Long shift with weak late-hour demand.</x:v>
      </x:c>
    </x:row>
    <x:row r="7">
      <x:c r="A7" s="10" t="n">
        <x:v>45975</x:v>
      </x:c>
      <x:c r="B7" t="str">
        <x:v>Dinner</x:v>
      </x:c>
      <x:c r="C7" s="12" t="n">
        <x:v>45975.729166666664</x:v>
      </x:c>
      <x:c r="D7" s="12" t="n">
        <x:v>45976.052083333336</x:v>
      </x:c>
      <x:c r="E7" s="14" t="n">
        <x:v>7.75</x:v>
      </x:c>
      <x:c r="F7" s="16" t="n">
        <x:v>70.59</x:v>
      </x:c>
      <x:c r="G7" s="18" t="n">
        <x:v>112</x:v>
      </x:c>
      <x:c r="H7" s="20" t="n">
        <x:v>13</x:v>
      </x:c>
      <x:c r="I7" s="16" t="n">
        <x:f>IFERROR(F7/G7,0)</x:f>
        <x:v>0.6302678571428572</x:v>
      </x:c>
      <x:c r="J7" t="str">
        <x:v>Henderson</x:v>
      </x:c>
      <x:c r="K7" t="str">
        <x:v>No</x:v>
      </x:c>
      <x:c r="L7" s="22" t="str">
        <x:v>No firm minimum payout rule yet.</x:v>
      </x:c>
    </x:row>
    <x:row r="8">
      <x:c r="A8" s="10" t="n">
        <x:v>45976</x:v>
      </x:c>
      <x:c r="B8" t="str">
        <x:v>Peak Pay</x:v>
      </x:c>
      <x:c r="C8" s="12" t="n">
        <x:v>45976.666666666664</x:v>
      </x:c>
      <x:c r="D8" s="12" t="n">
        <x:v>45976.947916666664</x:v>
      </x:c>
      <x:c r="E8" s="14" t="n">
        <x:v>6.75</x:v>
      </x:c>
      <x:c r="F8" s="16" t="n">
        <x:v>75.85</x:v>
      </x:c>
      <x:c r="G8" s="18" t="n">
        <x:v>94.7</x:v>
      </x:c>
      <x:c r="H8" s="20" t="n">
        <x:v>10</x:v>
      </x:c>
      <x:c r="I8" s="16" t="n">
        <x:f>IFERROR(F8/G8,0)</x:f>
        <x:v>0.8009503695881731</x:v>
      </x:c>
      <x:c r="J8" t="str">
        <x:v>Southwest</x:v>
      </x:c>
      <x:c r="K8" t="str">
        <x:v>Yes</x:v>
      </x:c>
      <x:c r="L8" s="22" t="str">
        <x:v>Waited too long at a slow merchant; low order turnover.</x:v>
      </x:c>
    </x:row>
    <x:row r="9">
      <x:c r="A9" s="10" t="n">
        <x:v>45977</x:v>
      </x:c>
      <x:c r="B9" t="str">
        <x:v>Peak Pay</x:v>
      </x:c>
      <x:c r="C9" s="12" t="n">
        <x:v>45977.708333333336</x:v>
      </x:c>
      <x:c r="D9" s="12" t="n">
        <x:v>45978</x:v>
      </x:c>
      <x:c r="E9" s="14" t="n">
        <x:v>7</x:v>
      </x:c>
      <x:c r="F9" s="16" t="n">
        <x:v>59.22</x:v>
      </x:c>
      <x:c r="G9" s="18" t="n">
        <x:v>73.3</x:v>
      </x:c>
      <x:c r="H9" s="20" t="n">
        <x:v>8</x:v>
      </x:c>
      <x:c r="I9" s="16" t="n">
        <x:f>IFERROR(F9/G9,0)</x:f>
        <x:v>0.807912687585266</x:v>
      </x:c>
      <x:c r="J9" t="str">
        <x:v>Henderson</x:v>
      </x:c>
      <x:c r="K9" t="str">
        <x:v>Yes</x:v>
      </x:c>
      <x:c r="L9" s="22" t="str">
        <x:v>Chased a bonus outside the best zone.</x:v>
      </x:c>
    </x:row>
    <x:row r="10">
      <x:c r="A10" s="10" t="n">
        <x:v>45982</x:v>
      </x:c>
      <x:c r="B10" t="str">
        <x:v>Peak Pay</x:v>
      </x:c>
      <x:c r="C10" s="12" t="n">
        <x:v>45982.6875</x:v>
      </x:c>
      <x:c r="D10" s="12" t="n">
        <x:v>45982.96875</x:v>
      </x:c>
      <x:c r="E10" s="14" t="n">
        <x:v>6.75</x:v>
      </x:c>
      <x:c r="F10" s="16" t="n">
        <x:v>74.08</x:v>
      </x:c>
      <x:c r="G10" s="18" t="n">
        <x:v>74.7</x:v>
      </x:c>
      <x:c r="H10" s="20" t="n">
        <x:v>12</x:v>
      </x:c>
      <x:c r="I10" s="16" t="n">
        <x:f>IFERROR(F10/G10,0)</x:f>
        <x:v>0.9917001338688085</x:v>
      </x:c>
      <x:c r="J10" t="str">
        <x:v>Southwest</x:v>
      </x:c>
      <x:c r="K10" t="str">
        <x:v>Yes</x:v>
      </x:c>
      <x:c r="L10" s="22" t="str">
        <x:v>Long shift with weak late-hour demand.</x:v>
      </x:c>
    </x:row>
    <x:row r="11">
      <x:c r="A11" s="10" t="n">
        <x:v>45983</x:v>
      </x:c>
      <x:c r="B11" t="str">
        <x:v>Dinner</x:v>
      </x:c>
      <x:c r="C11" s="12" t="n">
        <x:v>45983.75</x:v>
      </x:c>
      <x:c r="D11" s="12" t="n">
        <x:v>45983.989583333336</x:v>
      </x:c>
      <x:c r="E11" s="14" t="n">
        <x:v>5.75</x:v>
      </x:c>
      <x:c r="F11" s="16" t="n">
        <x:v>50.13</x:v>
      </x:c>
      <x:c r="G11" s="18" t="n">
        <x:v>65.7</x:v>
      </x:c>
      <x:c r="H11" s="20" t="n">
        <x:v>9</x:v>
      </x:c>
      <x:c r="I11" s="16" t="n">
        <x:f>IFERROR(F11/G11,0)</x:f>
        <x:v>0.763013698630137</x:v>
      </x:c>
      <x:c r="J11" t="str">
        <x:v>Southwest</x:v>
      </x:c>
      <x:c r="K11" t="str">
        <x:v>No</x:v>
      </x:c>
      <x:c r="L11" s="22" t="str">
        <x:v>Accepted most offers; several long-distance orders.</x:v>
      </x:c>
    </x:row>
    <x:row r="12">
      <x:c r="A12" s="10" t="n">
        <x:v>45984</x:v>
      </x:c>
      <x:c r="B12" t="str">
        <x:v>Dinner</x:v>
      </x:c>
      <x:c r="C12" s="12" t="n">
        <x:v>45984.666666666664</x:v>
      </x:c>
      <x:c r="D12" s="12" t="n">
        <x:v>45984.947916666664</x:v>
      </x:c>
      <x:c r="E12" s="14" t="n">
        <x:v>6.75</x:v>
      </x:c>
      <x:c r="F12" s="16" t="n">
        <x:v>64.21</x:v>
      </x:c>
      <x:c r="G12" s="18" t="n">
        <x:v>87.3</x:v>
      </x:c>
      <x:c r="H12" s="20" t="n">
        <x:v>10</x:v>
      </x:c>
      <x:c r="I12" s="16" t="n">
        <x:f>IFERROR(F12/G12,0)</x:f>
        <x:v>0.7355097365406643</x:v>
      </x:c>
      <x:c r="J12" t="str">
        <x:v>North Las Vegas</x:v>
      </x:c>
      <x:c r="K12" t="str">
        <x:v>Yes</x:v>
      </x:c>
      <x:c r="L12" s="22" t="str">
        <x:v>Stacked order looked good but added excessive miles.</x:v>
      </x:c>
    </x:row>
    <x:row r="13">
      <x:c r="A13" s="10" t="n">
        <x:v>45991</x:v>
      </x:c>
      <x:c r="B13" t="str">
        <x:v>Weekend Dinner</x:v>
      </x:c>
      <x:c r="C13" s="12" t="n">
        <x:v>45991.729166666664</x:v>
      </x:c>
      <x:c r="D13" s="12" t="n">
        <x:v>45992.010416666664</x:v>
      </x:c>
      <x:c r="E13" s="14" t="n">
        <x:v>6.75</x:v>
      </x:c>
      <x:c r="F13" s="16" t="n">
        <x:v>45.14</x:v>
      </x:c>
      <x:c r="G13" s="18" t="n">
        <x:v>57.2</x:v>
      </x:c>
      <x:c r="H13" s="20" t="n">
        <x:v>9</x:v>
      </x:c>
      <x:c r="I13" s="16" t="n">
        <x:f>IFERROR(F13/G13,0)</x:f>
        <x:v>0.7891608391608391</x:v>
      </x:c>
      <x:c r="J13" t="str">
        <x:v>Green Valley</x:v>
      </x:c>
      <x:c r="K13" t="str">
        <x:v>No</x:v>
      </x:c>
      <x:c r="L13" s="22" t="str">
        <x:v>Stacked order looked good but added excessive miles.</x:v>
      </x:c>
    </x:row>
    <x:row r="14">
      <x:c r="A14" s="10" t="n">
        <x:v>45993</x:v>
      </x:c>
      <x:c r="B14" t="str">
        <x:v>Open Schedule</x:v>
      </x:c>
      <x:c r="C14" s="12" t="n">
        <x:v>45993.625</x:v>
      </x:c>
      <x:c r="D14" s="12" t="n">
        <x:v>45993.875</x:v>
      </x:c>
      <x:c r="E14" s="14" t="n">
        <x:v>6</x:v>
      </x:c>
      <x:c r="F14" s="16" t="n">
        <x:v>58.9</x:v>
      </x:c>
      <x:c r="G14" s="18" t="n">
        <x:v>94.3</x:v>
      </x:c>
      <x:c r="H14" s="20" t="n">
        <x:v>10</x:v>
      </x:c>
      <x:c r="I14" s="16" t="n">
        <x:f>IFERROR(F14/G14,0)</x:f>
        <x:v>0.6246023329798516</x:v>
      </x:c>
      <x:c r="J14" t="str">
        <x:v>Henderson</x:v>
      </x:c>
      <x:c r="K14" t="str">
        <x:v>No</x:v>
      </x:c>
      <x:c r="L14" s="22" t="str">
        <x:v>Long shift with weak late-hour demand.</x:v>
      </x:c>
    </x:row>
    <x:row r="15">
      <x:c r="A15" s="10" t="n">
        <x:v>45994</x:v>
      </x:c>
      <x:c r="B15" t="str">
        <x:v>Open Schedule</x:v>
      </x:c>
      <x:c r="C15" s="12" t="n">
        <x:v>45994.604166666664</x:v>
      </x:c>
      <x:c r="D15" s="12" t="n">
        <x:v>45994.854166666664</x:v>
      </x:c>
      <x:c r="E15" s="14" t="n">
        <x:v>6</x:v>
      </x:c>
      <x:c r="F15" s="16" t="n">
        <x:v>52.21</x:v>
      </x:c>
      <x:c r="G15" s="18" t="n">
        <x:v>63.8</x:v>
      </x:c>
      <x:c r="H15" s="20" t="n">
        <x:v>9</x:v>
      </x:c>
      <x:c r="I15" s="16" t="n">
        <x:f>IFERROR(F15/G15,0)</x:f>
        <x:v>0.8183385579937305</x:v>
      </x:c>
      <x:c r="J15" t="str">
        <x:v>Southwest</x:v>
      </x:c>
      <x:c r="K15" t="str">
        <x:v>No</x:v>
      </x:c>
      <x:c r="L15" s="22" t="str">
        <x:v>No firm minimum payout rule yet.</x:v>
      </x:c>
    </x:row>
    <x:row r="16">
      <x:c r="A16" s="10" t="n">
        <x:v>45996</x:v>
      </x:c>
      <x:c r="B16" t="str">
        <x:v>Peak Pay</x:v>
      </x:c>
      <x:c r="C16" s="12" t="n">
        <x:v>45996.6875</x:v>
      </x:c>
      <x:c r="D16" s="12" t="n">
        <x:v>45996.916666666664</x:v>
      </x:c>
      <x:c r="E16" s="14" t="n">
        <x:v>5.5</x:v>
      </x:c>
      <x:c r="F16" s="16" t="n">
        <x:v>52.13</x:v>
      </x:c>
      <x:c r="G16" s="18" t="n">
        <x:v>52.2</x:v>
      </x:c>
      <x:c r="H16" s="20" t="n">
        <x:v>8</x:v>
      </x:c>
      <x:c r="I16" s="16" t="n">
        <x:f>IFERROR(F16/G16,0)</x:f>
        <x:v>0.9986590038314176</x:v>
      </x:c>
      <x:c r="J16" t="str">
        <x:v>Henderson</x:v>
      </x:c>
      <x:c r="K16" t="str">
        <x:v>Yes</x:v>
      </x:c>
      <x:c r="L16" s="22" t="str">
        <x:v>Chased a bonus outside the best zone.</x:v>
      </x:c>
    </x:row>
    <x:row r="17">
      <x:c r="A17" s="10" t="n">
        <x:v>45997</x:v>
      </x:c>
      <x:c r="B17" t="str">
        <x:v>Weekend Dinner</x:v>
      </x:c>
      <x:c r="C17" s="12" t="n">
        <x:v>45997.729166666664</x:v>
      </x:c>
      <x:c r="D17" s="12" t="n">
        <x:v>45997.979166666664</x:v>
      </x:c>
      <x:c r="E17" s="14" t="n">
        <x:v>6</x:v>
      </x:c>
      <x:c r="F17" s="16" t="n">
        <x:v>63.92</x:v>
      </x:c>
      <x:c r="G17" s="18" t="n">
        <x:v>67.2</x:v>
      </x:c>
      <x:c r="H17" s="20" t="n">
        <x:v>10</x:v>
      </x:c>
      <x:c r="I17" s="16" t="n">
        <x:f>IFERROR(F17/G17,0)</x:f>
        <x:v>0.9511904761904761</x:v>
      </x:c>
      <x:c r="J17" t="str">
        <x:v>Summerlin</x:v>
      </x:c>
      <x:c r="K17" t="str">
        <x:v>No</x:v>
      </x:c>
      <x:c r="L17" s="22" t="str">
        <x:v>Waited too long at a slow merchant; low order turnover.</x:v>
      </x:c>
    </x:row>
    <x:row r="18">
      <x:c r="A18" s="10" t="n">
        <x:v>45998</x:v>
      </x:c>
      <x:c r="B18" t="str">
        <x:v>Peak Pay</x:v>
      </x:c>
      <x:c r="C18" s="12" t="n">
        <x:v>45998.708333333336</x:v>
      </x:c>
      <x:c r="D18" s="12" t="n">
        <x:v>45998.9375</x:v>
      </x:c>
      <x:c r="E18" s="14" t="n">
        <x:v>5.5</x:v>
      </x:c>
      <x:c r="F18" s="16" t="n">
        <x:v>57.07</x:v>
      </x:c>
      <x:c r="G18" s="18" t="n">
        <x:v>59.9</x:v>
      </x:c>
      <x:c r="H18" s="20" t="n">
        <x:v>9</x:v>
      </x:c>
      <x:c r="I18" s="16" t="n">
        <x:f>IFERROR(F18/G18,0)</x:f>
        <x:v>0.952754590984975</x:v>
      </x:c>
      <x:c r="J18" t="str">
        <x:v>North Las Vegas</x:v>
      </x:c>
      <x:c r="K18" t="str">
        <x:v>Yes</x:v>
      </x:c>
      <x:c r="L18" s="22" t="str">
        <x:v>Long shift with weak late-hour demand.</x:v>
      </x:c>
    </x:row>
    <x:row r="19">
      <x:c r="A19" s="10" t="n">
        <x:v>46000</x:v>
      </x:c>
      <x:c r="B19" t="str">
        <x:v>Dinner</x:v>
      </x:c>
      <x:c r="C19" s="12" t="n">
        <x:v>46000.729166666664</x:v>
      </x:c>
      <x:c r="D19" s="12" t="n">
        <x:v>46000.979166666664</x:v>
      </x:c>
      <x:c r="E19" s="14" t="n">
        <x:v>6</x:v>
      </x:c>
      <x:c r="F19" s="16" t="n">
        <x:v>53.45</x:v>
      </x:c>
      <x:c r="G19" s="18" t="n">
        <x:v>61.2</x:v>
      </x:c>
      <x:c r="H19" s="20" t="n">
        <x:v>9</x:v>
      </x:c>
      <x:c r="I19" s="16" t="n">
        <x:f>IFERROR(F19/G19,0)</x:f>
        <x:v>0.8733660130718954</x:v>
      </x:c>
      <x:c r="J19" t="str">
        <x:v>Southwest</x:v>
      </x:c>
      <x:c r="K19" t="str">
        <x:v>No</x:v>
      </x:c>
      <x:c r="L19" s="22" t="str">
        <x:v>Waited too long at a slow merchant; low order turnover.</x:v>
      </x:c>
    </x:row>
    <x:row r="20">
      <x:c r="A20" s="10" t="n">
        <x:v>46004</x:v>
      </x:c>
      <x:c r="B20" t="str">
        <x:v>Weekend Dinner</x:v>
      </x:c>
      <x:c r="C20" s="12" t="n">
        <x:v>46004.729166666664</x:v>
      </x:c>
      <x:c r="D20" s="12" t="n">
        <x:v>46005.010416666664</x:v>
      </x:c>
      <x:c r="E20" s="14" t="n">
        <x:v>6.75</x:v>
      </x:c>
      <x:c r="F20" s="16" t="n">
        <x:v>50.43</x:v>
      </x:c>
      <x:c r="G20" s="18" t="n">
        <x:v>79.5</x:v>
      </x:c>
      <x:c r="H20" s="20" t="n">
        <x:v>8</x:v>
      </x:c>
      <x:c r="I20" s="16" t="n">
        <x:f>IFERROR(F20/G20,0)</x:f>
        <x:v>0.6343396226415094</x:v>
      </x:c>
      <x:c r="J20" t="str">
        <x:v>Green Valley</x:v>
      </x:c>
      <x:c r="K20" t="str">
        <x:v>No</x:v>
      </x:c>
      <x:c r="L20" s="22" t="str">
        <x:v>Accepted most offers; several long-distance orders.</x:v>
      </x:c>
    </x:row>
    <x:row r="21">
      <x:c r="A21" s="10" t="n">
        <x:v>46005</x:v>
      </x:c>
      <x:c r="B21" t="str">
        <x:v>Open Schedule</x:v>
      </x:c>
      <x:c r="C21" s="12" t="n">
        <x:v>46005.625</x:v>
      </x:c>
      <x:c r="D21" s="12" t="n">
        <x:v>46005.84375</x:v>
      </x:c>
      <x:c r="E21" s="14" t="n">
        <x:v>5.25</x:v>
      </x:c>
      <x:c r="F21" s="16" t="n">
        <x:v>32.41</x:v>
      </x:c>
      <x:c r="G21" s="18" t="n">
        <x:v>41.4</x:v>
      </x:c>
      <x:c r="H21" s="20" t="n">
        <x:v>6</x:v>
      </x:c>
      <x:c r="I21" s="16" t="n">
        <x:f>IFERROR(F21/G21,0)</x:f>
        <x:v>0.7828502415458937</x:v>
      </x:c>
      <x:c r="J21" t="str">
        <x:v>Green Valley</x:v>
      </x:c>
      <x:c r="K21" t="str">
        <x:v>No</x:v>
      </x:c>
      <x:c r="L21" s="22" t="str">
        <x:v>No firm minimum payout rule yet.</x:v>
      </x:c>
    </x:row>
    <x:row r="22">
      <x:c r="A22" s="10" t="n">
        <x:v>46010</x:v>
      </x:c>
      <x:c r="B22" t="str">
        <x:v>Weekend Dinner</x:v>
      </x:c>
      <x:c r="C22" s="12" t="n">
        <x:v>46010.6875</x:v>
      </x:c>
      <x:c r="D22" s="12" t="n">
        <x:v>46010.96875</x:v>
      </x:c>
      <x:c r="E22" s="14" t="n">
        <x:v>6.75</x:v>
      </x:c>
      <x:c r="F22" s="16" t="n">
        <x:v>69.72</x:v>
      </x:c>
      <x:c r="G22" s="18" t="n">
        <x:v>68.4</x:v>
      </x:c>
      <x:c r="H22" s="20" t="n">
        <x:v>12</x:v>
      </x:c>
      <x:c r="I22" s="16" t="n">
        <x:f>IFERROR(F22/G22,0)</x:f>
        <x:v>1.019298245614035</x:v>
      </x:c>
      <x:c r="J22" t="str">
        <x:v>Green Valley</x:v>
      </x:c>
      <x:c r="K22" t="str">
        <x:v>Yes</x:v>
      </x:c>
      <x:c r="L22" s="22" t="str">
        <x:v>Stacked order looked good but added excessive miles.</x:v>
      </x:c>
    </x:row>
    <x:row r="23">
      <x:c r="A23" s="10" t="n">
        <x:v>46011</x:v>
      </x:c>
      <x:c r="B23" t="str">
        <x:v>Weekend Dinner</x:v>
      </x:c>
      <x:c r="C23" s="12" t="n">
        <x:v>46011.75</x:v>
      </x:c>
      <x:c r="D23" s="12" t="n">
        <x:v>46012.052083333336</x:v>
      </x:c>
      <x:c r="E23" s="14" t="n">
        <x:v>7.25</x:v>
      </x:c>
      <x:c r="F23" s="16" t="n">
        <x:v>62.01</x:v>
      </x:c>
      <x:c r="G23" s="18" t="n">
        <x:v>78.1</x:v>
      </x:c>
      <x:c r="H23" s="20" t="n">
        <x:v>13</x:v>
      </x:c>
      <x:c r="I23" s="16" t="n">
        <x:f>IFERROR(F23/G23,0)</x:f>
        <x:v>0.7939820742637644</x:v>
      </x:c>
      <x:c r="J23" t="str">
        <x:v>Summerlin</x:v>
      </x:c>
      <x:c r="K23" t="str">
        <x:v>No</x:v>
      </x:c>
      <x:c r="L23" s="22" t="str">
        <x:v>Chased a bonus outside the best zone.</x:v>
      </x:c>
    </x:row>
    <x:row r="24">
      <x:c r="A24" s="10" t="n">
        <x:v>46012</x:v>
      </x:c>
      <x:c r="B24" t="str">
        <x:v>Dinner</x:v>
      </x:c>
      <x:c r="C24" s="12" t="n">
        <x:v>46012.708333333336</x:v>
      </x:c>
      <x:c r="D24" s="12" t="n">
        <x:v>46013.010416666664</x:v>
      </x:c>
      <x:c r="E24" s="14" t="n">
        <x:v>7.25</x:v>
      </x:c>
      <x:c r="F24" s="16" t="n">
        <x:v>89.24</x:v>
      </x:c>
      <x:c r="G24" s="18" t="n">
        <x:v>86.6</x:v>
      </x:c>
      <x:c r="H24" s="20" t="n">
        <x:v>13</x:v>
      </x:c>
      <x:c r="I24" s="16" t="n">
        <x:f>IFERROR(F24/G24,0)</x:f>
        <x:v>1.030484988452656</x:v>
      </x:c>
      <x:c r="J24" t="str">
        <x:v>North Las Vegas</x:v>
      </x:c>
      <x:c r="K24" t="str">
        <x:v>Yes</x:v>
      </x:c>
      <x:c r="L24" s="22" t="str">
        <x:v>Stacked order looked good but added excessive miles.</x:v>
      </x:c>
    </x:row>
    <x:row r="25">
      <x:c r="A25" s="10" t="n">
        <x:v>46018</x:v>
      </x:c>
      <x:c r="B25" t="str">
        <x:v>Weekend Dinner</x:v>
      </x:c>
      <x:c r="C25" s="12" t="n">
        <x:v>46018.75</x:v>
      </x:c>
      <x:c r="D25" s="12" t="n">
        <x:v>46019</x:v>
      </x:c>
      <x:c r="E25" s="14" t="n">
        <x:v>6</x:v>
      </x:c>
      <x:c r="F25" s="16" t="n">
        <x:v>46.04</x:v>
      </x:c>
      <x:c r="G25" s="18" t="n">
        <x:v>51.2</x:v>
      </x:c>
      <x:c r="H25" s="20" t="n">
        <x:v>8</x:v>
      </x:c>
      <x:c r="I25" s="16" t="n">
        <x:f>IFERROR(F25/G25,0)</x:f>
        <x:v>0.89921875</x:v>
      </x:c>
      <x:c r="J25" t="str">
        <x:v>North Las Vegas</x:v>
      </x:c>
      <x:c r="K25" t="str">
        <x:v>No</x:v>
      </x:c>
      <x:c r="L25" s="22" t="str">
        <x:v>Chased a bonus outside the best zone.</x:v>
      </x:c>
    </x:row>
    <x:row r="26">
      <x:c r="A26" s="10" t="n">
        <x:v>46019</x:v>
      </x:c>
      <x:c r="B26" t="str">
        <x:v>Weekend Dinner</x:v>
      </x:c>
      <x:c r="C26" s="12" t="n">
        <x:v>46019.729166666664</x:v>
      </x:c>
      <x:c r="D26" s="12" t="n">
        <x:v>46020.020833333336</x:v>
      </x:c>
      <x:c r="E26" s="14" t="n">
        <x:v>7</x:v>
      </x:c>
      <x:c r="F26" s="16" t="n">
        <x:v>69.7</x:v>
      </x:c>
      <x:c r="G26" s="18" t="n">
        <x:v>90.9</x:v>
      </x:c>
      <x:c r="H26" s="20" t="n">
        <x:v>12</x:v>
      </x:c>
      <x:c r="I26" s="16" t="n">
        <x:f>IFERROR(F26/G26,0)</x:f>
        <x:v>0.7667766776677668</x:v>
      </x:c>
      <x:c r="J26" t="str">
        <x:v>North Las Vegas</x:v>
      </x:c>
      <x:c r="K26" t="str">
        <x:v>No</x:v>
      </x:c>
      <x:c r="L26" s="22" t="str">
        <x:v>Long shift with weak late-hour demand.</x:v>
      </x:c>
    </x:row>
    <x:row r="27">
      <x:c r="A27" s="10" t="n">
        <x:v>46021</x:v>
      </x:c>
      <x:c r="B27" t="str">
        <x:v>Peak Pay</x:v>
      </x:c>
      <x:c r="C27" s="12" t="n">
        <x:v>46021.708333333336</x:v>
      </x:c>
      <x:c r="D27" s="12" t="n">
        <x:v>46021.947916666664</x:v>
      </x:c>
      <x:c r="E27" s="14" t="n">
        <x:v>5.75</x:v>
      </x:c>
      <x:c r="F27" s="16" t="n">
        <x:v>53.4</x:v>
      </x:c>
      <x:c r="G27" s="18" t="n">
        <x:v>73.9</x:v>
      </x:c>
      <x:c r="H27" s="20" t="n">
        <x:v>8</x:v>
      </x:c>
      <x:c r="I27" s="16" t="n">
        <x:f>IFERROR(F27/G27,0)</x:f>
        <x:v>0.7225981055480378</x:v>
      </x:c>
      <x:c r="J27" t="str">
        <x:v>Green Valley</x:v>
      </x:c>
      <x:c r="K27" t="str">
        <x:v>Yes</x:v>
      </x:c>
      <x:c r="L27" s="22" t="str">
        <x:v>Waited too long at a slow merchant; low order turnover.</x:v>
      </x:c>
    </x:row>
    <x:row r="28">
      <x:c r="A28" s="10" t="n">
        <x:v>46022</x:v>
      </x:c>
      <x:c r="B28" t="str">
        <x:v>Dinner</x:v>
      </x:c>
      <x:c r="C28" s="12" t="n">
        <x:v>46022.75</x:v>
      </x:c>
      <x:c r="D28" s="12" t="n">
        <x:v>46023</x:v>
      </x:c>
      <x:c r="E28" s="14" t="n">
        <x:v>6</x:v>
      </x:c>
      <x:c r="F28" s="16" t="n">
        <x:v>46.67</x:v>
      </x:c>
      <x:c r="G28" s="18" t="n">
        <x:v>58.5</x:v>
      </x:c>
      <x:c r="H28" s="20" t="n">
        <x:v>8</x:v>
      </x:c>
      <x:c r="I28" s="16" t="n">
        <x:f>IFERROR(F28/G28,0)</x:f>
        <x:v>0.7977777777777778</x:v>
      </x:c>
      <x:c r="J28" t="str">
        <x:v>North Las Vegas</x:v>
      </x:c>
      <x:c r="K28" t="str">
        <x:v>No</x:v>
      </x:c>
      <x:c r="L28" s="22" t="str">
        <x:v>Waited too long at a slow merchant; low order turnover.</x:v>
      </x:c>
    </x:row>
    <x:row r="29">
      <x:c r="A29" s="10" t="n">
        <x:v>46025</x:v>
      </x:c>
      <x:c r="B29" t="str">
        <x:v>Peak Pay</x:v>
      </x:c>
      <x:c r="C29" s="12" t="n">
        <x:v>46025.75</x:v>
      </x:c>
      <x:c r="D29" s="12" t="n">
        <x:v>46025.96875</x:v>
      </x:c>
      <x:c r="E29" s="14" t="n">
        <x:v>5.25</x:v>
      </x:c>
      <x:c r="F29" s="16" t="n">
        <x:v>77.66</x:v>
      </x:c>
      <x:c r="G29" s="18" t="n">
        <x:v>29.8</x:v>
      </x:c>
      <x:c r="H29" s="20" t="n">
        <x:v>10</x:v>
      </x:c>
      <x:c r="I29" s="16" t="n">
        <x:f>IFERROR(F29/G29,0)</x:f>
        <x:v>2.6060402684563755</x:v>
      </x:c>
      <x:c r="J29" t="str">
        <x:v>Henderson</x:v>
      </x:c>
      <x:c r="K29" t="str">
        <x:v>Yes</x:v>
      </x:c>
      <x:c r="L29" s="22" t="str">
        <x:v>Used $1.50/mile as a minimum screening rule.</x:v>
      </x:c>
    </x:row>
    <x:row r="30">
      <x:c r="A30" s="10" t="n">
        <x:v>46026</x:v>
      </x:c>
      <x:c r="B30" t="str">
        <x:v>Weekend Dinner</x:v>
      </x:c>
      <x:c r="C30" s="12" t="n">
        <x:v>46026.708333333336</x:v>
      </x:c>
      <x:c r="D30" s="12" t="n">
        <x:v>46026.9375</x:v>
      </x:c>
      <x:c r="E30" s="14" t="n">
        <x:v>5.5</x:v>
      </x:c>
      <x:c r="F30" s="16" t="n">
        <x:v>54.81</x:v>
      </x:c>
      <x:c r="G30" s="18" t="n">
        <x:v>27.1</x:v>
      </x:c>
      <x:c r="H30" s="20" t="n">
        <x:v>8</x:v>
      </x:c>
      <x:c r="I30" s="16" t="n">
        <x:f>IFERROR(F30/G30,0)</x:f>
        <x:v>2.022509225092251</x:v>
      </x:c>
      <x:c r="J30" t="str">
        <x:v>North Las Vegas</x:v>
      </x:c>
      <x:c r="K30" t="str">
        <x:v>No</x:v>
      </x:c>
      <x:c r="L30" s="22" t="str">
        <x:v>Ended shift earlier when hourly rate began falling.</x:v>
      </x:c>
    </x:row>
    <x:row r="31">
      <x:c r="A31" s="10" t="n">
        <x:v>46030</x:v>
      </x:c>
      <x:c r="B31" t="str">
        <x:v>Dinner</x:v>
      </x:c>
      <x:c r="C31" s="12" t="n">
        <x:v>46030.729166666664</x:v>
      </x:c>
      <x:c r="D31" s="12" t="n">
        <x:v>46030.916666666664</x:v>
      </x:c>
      <x:c r="E31" s="14" t="n">
        <x:v>4.5</x:v>
      </x:c>
      <x:c r="F31" s="16" t="n">
        <x:v>43.39</x:v>
      </x:c>
      <x:c r="G31" s="18" t="n">
        <x:v>24</x:v>
      </x:c>
      <x:c r="H31" s="20" t="n">
        <x:v>8</x:v>
      </x:c>
      <x:c r="I31" s="16" t="n">
        <x:f>IFERROR(F31/G31,0)</x:f>
        <x:v>1.8079166666666666</x:v>
      </x:c>
      <x:c r="J31" t="str">
        <x:v>Henderson</x:v>
      </x:c>
      <x:c r="K31" t="str">
        <x:v>No</x:v>
      </x:c>
      <x:c r="L31" s="22" t="str">
        <x:v>Tested a preferred merchant list; fewer long waits.</x:v>
      </x:c>
    </x:row>
    <x:row r="32">
      <x:c r="A32" s="10" t="n">
        <x:v>46031</x:v>
      </x:c>
      <x:c r="B32" t="str">
        <x:v>Peak Pay</x:v>
      </x:c>
      <x:c r="C32" s="12" t="n">
        <x:v>46031.6875</x:v>
      </x:c>
      <x:c r="D32" s="12" t="n">
        <x:v>46031.916666666664</x:v>
      </x:c>
      <x:c r="E32" s="14" t="n">
        <x:v>5.5</x:v>
      </x:c>
      <x:c r="F32" s="16" t="n">
        <x:v>61.67</x:v>
      </x:c>
      <x:c r="G32" s="18" t="n">
        <x:v>16.5</x:v>
      </x:c>
      <x:c r="H32" s="20" t="n">
        <x:v>9</x:v>
      </x:c>
      <x:c r="I32" s="16" t="n">
        <x:f>IFERROR(F32/G32,0)</x:f>
        <x:v>3.7375757575757578</x:v>
      </x:c>
      <x:c r="J32" t="str">
        <x:v>Southwest</x:v>
      </x:c>
      <x:c r="K32" t="str">
        <x:v>Yes</x:v>
      </x:c>
      <x:c r="L32" s="22" t="str">
        <x:v>Used $1.50/mile as a minimum screening rule.</x:v>
      </x:c>
    </x:row>
    <x:row r="33">
      <x:c r="A33" s="10" t="n">
        <x:v>46033</x:v>
      </x:c>
      <x:c r="B33" t="str">
        <x:v>Weekend Dinner</x:v>
      </x:c>
      <x:c r="C33" s="12" t="n">
        <x:v>46033.6875</x:v>
      </x:c>
      <x:c r="D33" s="12" t="n">
        <x:v>46033.895833333336</x:v>
      </x:c>
      <x:c r="E33" s="14" t="n">
        <x:v>5</x:v>
      </x:c>
      <x:c r="F33" s="16" t="n">
        <x:v>53.75</x:v>
      </x:c>
      <x:c r="G33" s="18" t="n">
        <x:v>19.1</x:v>
      </x:c>
      <x:c r="H33" s="20" t="n">
        <x:v>8</x:v>
      </x:c>
      <x:c r="I33" s="16" t="n">
        <x:f>IFERROR(F33/G33,0)</x:f>
        <x:v>2.81413612565445</x:v>
      </x:c>
      <x:c r="J33" t="str">
        <x:v>Henderson</x:v>
      </x:c>
      <x:c r="K33" t="str">
        <x:v>No</x:v>
      </x:c>
      <x:c r="L33" s="22" t="str">
        <x:v>Used $1.50/mile as a minimum screening rule.</x:v>
      </x:c>
    </x:row>
    <x:row r="34">
      <x:c r="A34" s="10" t="n">
        <x:v>46037</x:v>
      </x:c>
      <x:c r="B34" t="str">
        <x:v>Dinner</x:v>
      </x:c>
      <x:c r="C34" s="12" t="n">
        <x:v>46037.666666666664</x:v>
      </x:c>
      <x:c r="D34" s="12" t="n">
        <x:v>46037.864583333336</x:v>
      </x:c>
      <x:c r="E34" s="14" t="n">
        <x:v>4.75</x:v>
      </x:c>
      <x:c r="F34" s="16" t="n">
        <x:v>61.97</x:v>
      </x:c>
      <x:c r="G34" s="18" t="n">
        <x:v>24.8</x:v>
      </x:c>
      <x:c r="H34" s="20" t="n">
        <x:v>9</x:v>
      </x:c>
      <x:c r="I34" s="16" t="n">
        <x:f>IFERROR(F34/G34,0)</x:f>
        <x:v>2.498790322580645</x:v>
      </x:c>
      <x:c r="J34" t="str">
        <x:v>Henderson</x:v>
      </x:c>
      <x:c r="K34" t="str">
        <x:v>No</x:v>
      </x:c>
      <x:c r="L34" s="22" t="str">
        <x:v>Started declining offers below $7 unless mileage was very low.</x:v>
      </x:c>
    </x:row>
    <x:row r="35">
      <x:c r="A35" s="10" t="n">
        <x:v>46046</x:v>
      </x:c>
      <x:c r="B35" t="str">
        <x:v>Dinner</x:v>
      </x:c>
      <x:c r="C35" s="12" t="n">
        <x:v>46046.708333333336</x:v>
      </x:c>
      <x:c r="D35" s="12" t="n">
        <x:v>46046.9375</x:v>
      </x:c>
      <x:c r="E35" s="14" t="n">
        <x:v>5.5</x:v>
      </x:c>
      <x:c r="F35" s="16" t="n">
        <x:v>81.02</x:v>
      </x:c>
      <x:c r="G35" s="18" t="n">
        <x:v>27.1</x:v>
      </x:c>
      <x:c r="H35" s="20" t="n">
        <x:v>11</x:v>
      </x:c>
      <x:c r="I35" s="16" t="n">
        <x:f>IFERROR(F35/G35,0)</x:f>
        <x:v>2.9896678966789665</x:v>
      </x:c>
      <x:c r="J35" t="str">
        <x:v>Green Valley</x:v>
      </x:c>
      <x:c r="K35" t="str">
        <x:v>No</x:v>
      </x:c>
      <x:c r="L35" s="22" t="str">
        <x:v>Ended shift earlier when hourly rate began falling.</x:v>
      </x:c>
    </x:row>
    <x:row r="36">
      <x:c r="A36" s="10" t="n">
        <x:v>46047</x:v>
      </x:c>
      <x:c r="B36" t="str">
        <x:v>Peak Pay</x:v>
      </x:c>
      <x:c r="C36" s="12" t="n">
        <x:v>46047.708333333336</x:v>
      </x:c>
      <x:c r="D36" s="12" t="n">
        <x:v>46047.958333333336</x:v>
      </x:c>
      <x:c r="E36" s="14" t="n">
        <x:v>6</x:v>
      </x:c>
      <x:c r="F36" s="16" t="n">
        <x:v>65.27</x:v>
      </x:c>
      <x:c r="G36" s="18" t="n">
        <x:v>26.2</x:v>
      </x:c>
      <x:c r="H36" s="20" t="n">
        <x:v>10</x:v>
      </x:c>
      <x:c r="I36" s="16" t="n">
        <x:f>IFERROR(F36/G36,0)</x:f>
        <x:v>2.4912213740458014</x:v>
      </x:c>
      <x:c r="J36" t="str">
        <x:v>Green Valley</x:v>
      </x:c>
      <x:c r="K36" t="str">
        <x:v>Yes</x:v>
      </x:c>
      <x:c r="L36" s="22" t="str">
        <x:v>Ended shift earlier when hourly rate began falling.</x:v>
      </x:c>
    </x:row>
    <x:row r="37">
      <x:c r="A37" s="10" t="n">
        <x:v>46052</x:v>
      </x:c>
      <x:c r="B37" t="str">
        <x:v>Dinner</x:v>
      </x:c>
      <x:c r="C37" s="12" t="n">
        <x:v>46052.6875</x:v>
      </x:c>
      <x:c r="D37" s="12" t="n">
        <x:v>46052.90625</x:v>
      </x:c>
      <x:c r="E37" s="14" t="n">
        <x:v>5.25</x:v>
      </x:c>
      <x:c r="F37" s="16" t="n">
        <x:v>69.89</x:v>
      </x:c>
      <x:c r="G37" s="18" t="n">
        <x:v>21</x:v>
      </x:c>
      <x:c r="H37" s="20" t="n">
        <x:v>10</x:v>
      </x:c>
      <x:c r="I37" s="16" t="n">
        <x:f>IFERROR(F37/G37,0)</x:f>
        <x:v>3.328095238095238</x:v>
      </x:c>
      <x:c r="J37" t="str">
        <x:v>Henderson</x:v>
      </x:c>
      <x:c r="K37" t="str">
        <x:v>No</x:v>
      </x:c>
      <x:c r="L37" s="22" t="str">
        <x:v>Tracked estimated completion time before accepting.</x:v>
      </x:c>
    </x:row>
    <x:row r="38">
      <x:c r="A38" s="10" t="n">
        <x:v>46053</x:v>
      </x:c>
      <x:c r="B38" t="str">
        <x:v>Weekend Dinner</x:v>
      </x:c>
      <x:c r="C38" s="12" t="n">
        <x:v>46053.708333333336</x:v>
      </x:c>
      <x:c r="D38" s="12" t="n">
        <x:v>46053.90625</x:v>
      </x:c>
      <x:c r="E38" s="14" t="n">
        <x:v>4.75</x:v>
      </x:c>
      <x:c r="F38" s="16" t="n">
        <x:v>60.98</x:v>
      </x:c>
      <x:c r="G38" s="18" t="n">
        <x:v>20.4</x:v>
      </x:c>
      <x:c r="H38" s="20" t="n">
        <x:v>9</x:v>
      </x:c>
      <x:c r="I38" s="16" t="n">
        <x:f>IFERROR(F38/G38,0)</x:f>
        <x:v>2.98921568627451</x:v>
      </x:c>
      <x:c r="J38" t="str">
        <x:v>Henderson</x:v>
      </x:c>
      <x:c r="K38" t="str">
        <x:v>No</x:v>
      </x:c>
      <x:c r="L38" s="22" t="str">
        <x:v>Tested a preferred merchant list; fewer long waits.</x:v>
      </x:c>
    </x:row>
    <x:row r="39">
      <x:c r="A39" s="10" t="n">
        <x:v>46059</x:v>
      </x:c>
      <x:c r="B39" t="str">
        <x:v>Dinner</x:v>
      </x:c>
      <x:c r="C39" s="12" t="n">
        <x:v>46059.6875</x:v>
      </x:c>
      <x:c r="D39" s="12" t="n">
        <x:v>46059.916666666664</x:v>
      </x:c>
      <x:c r="E39" s="14" t="n">
        <x:v>5.5</x:v>
      </x:c>
      <x:c r="F39" s="16" t="n">
        <x:v>60.14</x:v>
      </x:c>
      <x:c r="G39" s="18" t="n">
        <x:v>17.2</x:v>
      </x:c>
      <x:c r="H39" s="20" t="n">
        <x:v>8</x:v>
      </x:c>
      <x:c r="I39" s="16" t="n">
        <x:f>IFERROR(F39/G39,0)</x:f>
        <x:v>3.496511627906977</x:v>
      </x:c>
      <x:c r="J39" t="str">
        <x:v>Green Valley</x:v>
      </x:c>
      <x:c r="K39" t="str">
        <x:v>No</x:v>
      </x:c>
      <x:c r="L39" s="22" t="str">
        <x:v>Moved back to a stronger zone after demand slowed.</x:v>
      </x:c>
    </x:row>
    <x:row r="40">
      <x:c r="A40" s="10" t="n">
        <x:v>46060</x:v>
      </x:c>
      <x:c r="B40" t="str">
        <x:v>Peak Pay</x:v>
      </x:c>
      <x:c r="C40" s="12" t="n">
        <x:v>46060.729166666664</x:v>
      </x:c>
      <x:c r="D40" s="12" t="n">
        <x:v>46060.96875</x:v>
      </x:c>
      <x:c r="E40" s="14" t="n">
        <x:v>5.75</x:v>
      </x:c>
      <x:c r="F40" s="16" t="n">
        <x:v>75.57</x:v>
      </x:c>
      <x:c r="G40" s="18" t="n">
        <x:v>27.6</x:v>
      </x:c>
      <x:c r="H40" s="20" t="n">
        <x:v>9</x:v>
      </x:c>
      <x:c r="I40" s="16" t="n">
        <x:f>IFERROR(F40/G40,0)</x:f>
        <x:v>2.7380434782608694</x:v>
      </x:c>
      <x:c r="J40" t="str">
        <x:v>North Las Vegas</x:v>
      </x:c>
      <x:c r="K40" t="str">
        <x:v>Yes</x:v>
      </x:c>
      <x:c r="L40" s="22" t="str">
        <x:v>Started declining offers below $7 unless mileage was very low.</x:v>
      </x:c>
    </x:row>
    <x:row r="41">
      <x:c r="A41" s="10" t="n">
        <x:v>46061</x:v>
      </x:c>
      <x:c r="B41" t="str">
        <x:v>Weekend Dinner</x:v>
      </x:c>
      <x:c r="C41" s="12" t="n">
        <x:v>46061.75</x:v>
      </x:c>
      <x:c r="D41" s="12" t="n">
        <x:v>46061.947916666664</x:v>
      </x:c>
      <x:c r="E41" s="14" t="n">
        <x:v>4.75</x:v>
      </x:c>
      <x:c r="F41" s="16" t="n">
        <x:v>69.27</x:v>
      </x:c>
      <x:c r="G41" s="18" t="n">
        <x:v>24.2</x:v>
      </x:c>
      <x:c r="H41" s="20" t="n">
        <x:v>9</x:v>
      </x:c>
      <x:c r="I41" s="16" t="n">
        <x:f>IFERROR(F41/G41,0)</x:f>
        <x:v>2.8623966942148757</x:v>
      </x:c>
      <x:c r="J41" t="str">
        <x:v>Southwest</x:v>
      </x:c>
      <x:c r="K41" t="str">
        <x:v>No</x:v>
      </x:c>
      <x:c r="L41" s="22" t="str">
        <x:v>Moved back to a stronger zone after demand slowed.</x:v>
      </x:c>
    </x:row>
    <x:row r="42">
      <x:c r="A42" s="10" t="n">
        <x:v>46062</x:v>
      </x:c>
      <x:c r="B42" t="str">
        <x:v>Peak Pay</x:v>
      </x:c>
      <x:c r="C42" s="12" t="n">
        <x:v>46062.729166666664</x:v>
      </x:c>
      <x:c r="D42" s="12" t="n">
        <x:v>46062.947916666664</x:v>
      </x:c>
      <x:c r="E42" s="14" t="n">
        <x:v>5.25</x:v>
      </x:c>
      <x:c r="F42" s="16" t="n">
        <x:v>81.11</x:v>
      </x:c>
      <x:c r="G42" s="18" t="n">
        <x:v>27.2</x:v>
      </x:c>
      <x:c r="H42" s="20" t="n">
        <x:v>9</x:v>
      </x:c>
      <x:c r="I42" s="16" t="n">
        <x:f>IFERROR(F42/G42,0)</x:f>
        <x:v>2.981985294117647</x:v>
      </x:c>
      <x:c r="J42" t="str">
        <x:v>Henderson</x:v>
      </x:c>
      <x:c r="K42" t="str">
        <x:v>Yes</x:v>
      </x:c>
      <x:c r="L42" s="22" t="str">
        <x:v>Tracked estimated completion time before accepting.</x:v>
      </x:c>
    </x:row>
    <x:row r="43">
      <x:c r="A43" s="10" t="n">
        <x:v>46064</x:v>
      </x:c>
      <x:c r="B43" t="str">
        <x:v>Lunch</x:v>
      </x:c>
      <x:c r="C43" s="12" t="n">
        <x:v>46064.46875</x:v>
      </x:c>
      <x:c r="D43" s="12" t="n">
        <x:v>46064.729166666664</x:v>
      </x:c>
      <x:c r="E43" s="14" t="n">
        <x:v>6.25</x:v>
      </x:c>
      <x:c r="F43" s="16" t="n">
        <x:v>54.62</x:v>
      </x:c>
      <x:c r="G43" s="18" t="n">
        <x:v>23.8</x:v>
      </x:c>
      <x:c r="H43" s="20" t="n">
        <x:v>8</x:v>
      </x:c>
      <x:c r="I43" s="16" t="n">
        <x:f>IFERROR(F43/G43,0)</x:f>
        <x:v>2.294957983193277</x:v>
      </x:c>
      <x:c r="J43" t="str">
        <x:v>Henderson</x:v>
      </x:c>
      <x:c r="K43" t="str">
        <x:v>No</x:v>
      </x:c>
      <x:c r="L43" s="22" t="str">
        <x:v>Used $1.50/mile as a minimum screening rule.</x:v>
      </x:c>
    </x:row>
    <x:row r="44">
      <x:c r="A44" s="10" t="n">
        <x:v>46066</x:v>
      </x:c>
      <x:c r="B44" t="str">
        <x:v>Peak Pay</x:v>
      </x:c>
      <x:c r="C44" s="12" t="n">
        <x:v>46066.6875</x:v>
      </x:c>
      <x:c r="D44" s="12" t="n">
        <x:v>46066.927083333336</x:v>
      </x:c>
      <x:c r="E44" s="14" t="n">
        <x:v>5.75</x:v>
      </x:c>
      <x:c r="F44" s="16" t="n">
        <x:v>83.89</x:v>
      </x:c>
      <x:c r="G44" s="18" t="n">
        <x:v>34.7</x:v>
      </x:c>
      <x:c r="H44" s="20" t="n">
        <x:v>12</x:v>
      </x:c>
      <x:c r="I44" s="16" t="n">
        <x:f>IFERROR(F44/G44,0)</x:f>
        <x:v>2.4175792507204608</x:v>
      </x:c>
      <x:c r="J44" t="str">
        <x:v>Henderson</x:v>
      </x:c>
      <x:c r="K44" t="str">
        <x:v>Yes</x:v>
      </x:c>
      <x:c r="L44" s="22" t="str">
        <x:v>Started declining offers below $7 unless mileage was very low.</x:v>
      </x:c>
    </x:row>
    <x:row r="45">
      <x:c r="A45" s="10" t="n">
        <x:v>46068</x:v>
      </x:c>
      <x:c r="B45" t="str">
        <x:v>Weekend Dinner</x:v>
      </x:c>
      <x:c r="C45" s="12" t="n">
        <x:v>46068.708333333336</x:v>
      </x:c>
      <x:c r="D45" s="12" t="n">
        <x:v>46068.9375</x:v>
      </x:c>
      <x:c r="E45" s="14" t="n">
        <x:v>5.5</x:v>
      </x:c>
      <x:c r="F45" s="16" t="n">
        <x:v>54.79</x:v>
      </x:c>
      <x:c r="G45" s="18" t="n">
        <x:v>26.8</x:v>
      </x:c>
      <x:c r="H45" s="20" t="n">
        <x:v>7</x:v>
      </x:c>
      <x:c r="I45" s="16" t="n">
        <x:f>IFERROR(F45/G45,0)</x:f>
        <x:v>2.0444029850746266</x:v>
      </x:c>
      <x:c r="J45" t="str">
        <x:v>North Las Vegas</x:v>
      </x:c>
      <x:c r="K45" t="str">
        <x:v>Yes</x:v>
      </x:c>
      <x:c r="L45" s="22" t="str">
        <x:v>Used $1.50/mile as a minimum screening rule.</x:v>
      </x:c>
    </x:row>
    <x:row r="46">
      <x:c r="A46" s="10" t="n">
        <x:v>46073</x:v>
      </x:c>
      <x:c r="B46" t="str">
        <x:v>Dinner</x:v>
      </x:c>
      <x:c r="C46" s="12" t="n">
        <x:v>46073.75</x:v>
      </x:c>
      <x:c r="D46" s="12" t="n">
        <x:v>46073.96875</x:v>
      </x:c>
      <x:c r="E46" s="14" t="n">
        <x:v>5.25</x:v>
      </x:c>
      <x:c r="F46" s="16" t="n">
        <x:v>78.96</x:v>
      </x:c>
      <x:c r="G46" s="18" t="n">
        <x:v>30</x:v>
      </x:c>
      <x:c r="H46" s="20" t="n">
        <x:v>11</x:v>
      </x:c>
      <x:c r="I46" s="16" t="n">
        <x:f>IFERROR(F46/G46,0)</x:f>
        <x:v>2.6319999999999997</x:v>
      </x:c>
      <x:c r="J46" t="str">
        <x:v>Henderson</x:v>
      </x:c>
      <x:c r="K46" t="str">
        <x:v>No</x:v>
      </x:c>
      <x:c r="L46" s="22" t="str">
        <x:v>Ended shift earlier when hourly rate began falling.</x:v>
      </x:c>
    </x:row>
    <x:row r="47">
      <x:c r="A47" s="10" t="n">
        <x:v>46074</x:v>
      </x:c>
      <x:c r="B47" t="str">
        <x:v>Dinner</x:v>
      </x:c>
      <x:c r="C47" s="12" t="n">
        <x:v>46074.6875</x:v>
      </x:c>
      <x:c r="D47" s="12" t="n">
        <x:v>46074.864583333336</x:v>
      </x:c>
      <x:c r="E47" s="14" t="n">
        <x:v>4.25</x:v>
      </x:c>
      <x:c r="F47" s="16" t="n">
        <x:v>53.39</x:v>
      </x:c>
      <x:c r="G47" s="18" t="n">
        <x:v>20.3</x:v>
      </x:c>
      <x:c r="H47" s="20" t="n">
        <x:v>7</x:v>
      </x:c>
      <x:c r="I47" s="16" t="n">
        <x:f>IFERROR(F47/G47,0)</x:f>
        <x:v>2.6300492610837436</x:v>
      </x:c>
      <x:c r="J47" t="str">
        <x:v>Green Valley</x:v>
      </x:c>
      <x:c r="K47" t="str">
        <x:v>Yes</x:v>
      </x:c>
      <x:c r="L47" s="22" t="str">
        <x:v>Started declining offers below $7 unless mileage was very low.</x:v>
      </x:c>
    </x:row>
    <x:row r="48">
      <x:c r="A48" s="10" t="n">
        <x:v>46076</x:v>
      </x:c>
      <x:c r="B48" t="str">
        <x:v>Lunch</x:v>
      </x:c>
      <x:c r="C48" s="12" t="n">
        <x:v>46076.458333333336</x:v>
      </x:c>
      <x:c r="D48" s="12" t="n">
        <x:v>46076.666666666664</x:v>
      </x:c>
      <x:c r="E48" s="14" t="n">
        <x:v>5</x:v>
      </x:c>
      <x:c r="F48" s="16" t="n">
        <x:v>58.59</x:v>
      </x:c>
      <x:c r="G48" s="18" t="n">
        <x:v>18.7</x:v>
      </x:c>
      <x:c r="H48" s="20" t="n">
        <x:v>8</x:v>
      </x:c>
      <x:c r="I48" s="16" t="n">
        <x:f>IFERROR(F48/G48,0)</x:f>
        <x:v>3.133155080213904</x:v>
      </x:c>
      <x:c r="J48" t="str">
        <x:v>Green Valley</x:v>
      </x:c>
      <x:c r="K48" t="str">
        <x:v>Yes</x:v>
      </x:c>
      <x:c r="L48" s="22" t="str">
        <x:v>Ended shift earlier when hourly rate began falling.</x:v>
      </x:c>
    </x:row>
    <x:row r="49">
      <x:c r="A49" s="10" t="n">
        <x:v>46080</x:v>
      </x:c>
      <x:c r="B49" t="str">
        <x:v>Weekend Dinner</x:v>
      </x:c>
      <x:c r="C49" s="12" t="n">
        <x:v>46080.666666666664</x:v>
      </x:c>
      <x:c r="D49" s="12" t="n">
        <x:v>46080.895833333336</x:v>
      </x:c>
      <x:c r="E49" s="14" t="n">
        <x:v>5.5</x:v>
      </x:c>
      <x:c r="F49" s="16" t="n">
        <x:v>49.03</x:v>
      </x:c>
      <x:c r="G49" s="18" t="n">
        <x:v>21.2</x:v>
      </x:c>
      <x:c r="H49" s="20" t="n">
        <x:v>8</x:v>
      </x:c>
      <x:c r="I49" s="16" t="n">
        <x:f>IFERROR(F49/G49,0)</x:f>
        <x:v>2.312735849056604</x:v>
      </x:c>
      <x:c r="J49" t="str">
        <x:v>Green Valley</x:v>
      </x:c>
      <x:c r="K49" t="str">
        <x:v>No</x:v>
      </x:c>
      <x:c r="L49" s="22" t="str">
        <x:v>Tracked estimated completion time before accepting.</x:v>
      </x:c>
    </x:row>
    <x:row r="50">
      <x:c r="A50" s="10" t="n">
        <x:v>46082</x:v>
      </x:c>
      <x:c r="B50" t="str">
        <x:v>Weekend Dinner</x:v>
      </x:c>
      <x:c r="C50" s="12" t="n">
        <x:v>46082.75</x:v>
      </x:c>
      <x:c r="D50" s="12" t="n">
        <x:v>46082.989583333336</x:v>
      </x:c>
      <x:c r="E50" s="14" t="n">
        <x:v>5.75</x:v>
      </x:c>
      <x:c r="F50" s="16" t="n">
        <x:v>71.34</x:v>
      </x:c>
      <x:c r="G50" s="18" t="n">
        <x:v>26.1</x:v>
      </x:c>
      <x:c r="H50" s="20" t="n">
        <x:v>11</x:v>
      </x:c>
      <x:c r="I50" s="16" t="n">
        <x:f>IFERROR(F50/G50,0)</x:f>
        <x:v>2.7333333333333334</x:v>
      </x:c>
      <x:c r="J50" t="str">
        <x:v>Henderson</x:v>
      </x:c>
      <x:c r="K50" t="str">
        <x:v>No</x:v>
      </x:c>
      <x:c r="L50" s="22" t="str">
        <x:v>Moved back to a stronger zone after demand slowed.</x:v>
      </x:c>
    </x:row>
    <x:row r="51">
      <x:c r="A51" s="10" t="n">
        <x:v>46086</x:v>
      </x:c>
      <x:c r="B51" t="str">
        <x:v>Lunch</x:v>
      </x:c>
      <x:c r="C51" s="12" t="n">
        <x:v>46086.447916666664</x:v>
      </x:c>
      <x:c r="D51" s="12" t="n">
        <x:v>46086.635416666664</x:v>
      </x:c>
      <x:c r="E51" s="14" t="n">
        <x:v>4.5</x:v>
      </x:c>
      <x:c r="F51" s="16" t="n">
        <x:v>60.07</x:v>
      </x:c>
      <x:c r="G51" s="18" t="n">
        <x:v>27.5</x:v>
      </x:c>
      <x:c r="H51" s="20" t="n">
        <x:v>9</x:v>
      </x:c>
      <x:c r="I51" s="16" t="n">
        <x:f>IFERROR(F51/G51,0)</x:f>
        <x:v>2.1843636363636363</x:v>
      </x:c>
      <x:c r="J51" t="str">
        <x:v>Southwest</x:v>
      </x:c>
      <x:c r="K51" t="str">
        <x:v>No</x:v>
      </x:c>
      <x:c r="L51" s="22" t="str">
        <x:v>Used $1.50/mile as a minimum screening rule.</x:v>
      </x:c>
    </x:row>
    <x:row r="52">
      <x:c r="A52" s="10" t="n">
        <x:v>46087</x:v>
      </x:c>
      <x:c r="B52" t="str">
        <x:v>Peak Pay</x:v>
      </x:c>
      <x:c r="C52" s="12" t="n">
        <x:v>46087.708333333336</x:v>
      </x:c>
      <x:c r="D52" s="12" t="n">
        <x:v>46087.927083333336</x:v>
      </x:c>
      <x:c r="E52" s="14" t="n">
        <x:v>5.25</x:v>
      </x:c>
      <x:c r="F52" s="16" t="n">
        <x:v>70.24</x:v>
      </x:c>
      <x:c r="G52" s="18" t="n">
        <x:v>31</x:v>
      </x:c>
      <x:c r="H52" s="20" t="n">
        <x:v>11</x:v>
      </x:c>
      <x:c r="I52" s="16" t="n">
        <x:f>IFERROR(F52/G52,0)</x:f>
        <x:v>2.265806451612903</x:v>
      </x:c>
      <x:c r="J52" t="str">
        <x:v>Summerlin</x:v>
      </x:c>
      <x:c r="K52" t="str">
        <x:v>Yes</x:v>
      </x:c>
      <x:c r="L52" s="22" t="str">
        <x:v>Started declining offers below $7 unless mileage was very low.</x:v>
      </x:c>
    </x:row>
    <x:row r="53">
      <x:c r="A53" s="10" t="n">
        <x:v>46088</x:v>
      </x:c>
      <x:c r="B53" t="str">
        <x:v>Weekend Dinner</x:v>
      </x:c>
      <x:c r="C53" s="12" t="n">
        <x:v>46088.666666666664</x:v>
      </x:c>
      <x:c r="D53" s="12" t="n">
        <x:v>46088.854166666664</x:v>
      </x:c>
      <x:c r="E53" s="14" t="n">
        <x:v>4.5</x:v>
      </x:c>
      <x:c r="F53" s="16" t="n">
        <x:v>48.32</x:v>
      </x:c>
      <x:c r="G53" s="18" t="n">
        <x:v>22.3</x:v>
      </x:c>
      <x:c r="H53" s="20" t="n">
        <x:v>7</x:v>
      </x:c>
      <x:c r="I53" s="16" t="n">
        <x:f>IFERROR(F53/G53,0)</x:f>
        <x:v>2.166816143497758</x:v>
      </x:c>
      <x:c r="J53" t="str">
        <x:v>Green Valley</x:v>
      </x:c>
      <x:c r="K53" t="str">
        <x:v>No</x:v>
      </x:c>
      <x:c r="L53" s="22" t="str">
        <x:v>Moved back to a stronger zone after demand slowed.</x:v>
      </x:c>
    </x:row>
    <x:row r="54">
      <x:c r="A54" s="10" t="n">
        <x:v>46089</x:v>
      </x:c>
      <x:c r="B54" t="str">
        <x:v>Dinner</x:v>
      </x:c>
      <x:c r="C54" s="12" t="n">
        <x:v>46089.6875</x:v>
      </x:c>
      <x:c r="D54" s="12" t="n">
        <x:v>46089.90625</x:v>
      </x:c>
      <x:c r="E54" s="14" t="n">
        <x:v>5.25</x:v>
      </x:c>
      <x:c r="F54" s="16" t="n">
        <x:v>81.71</x:v>
      </x:c>
      <x:c r="G54" s="18" t="n">
        <x:v>29</x:v>
      </x:c>
      <x:c r="H54" s="20" t="n">
        <x:v>11</x:v>
      </x:c>
      <x:c r="I54" s="16" t="n">
        <x:f>IFERROR(F54/G54,0)</x:f>
        <x:v>2.8175862068965514</x:v>
      </x:c>
      <x:c r="J54" t="str">
        <x:v>Henderson</x:v>
      </x:c>
      <x:c r="K54" t="str">
        <x:v>No</x:v>
      </x:c>
      <x:c r="L54" s="22" t="str">
        <x:v>Tested a preferred merchant list; fewer long waits.</x:v>
      </x:c>
    </x:row>
    <x:row r="55">
      <x:c r="A55" s="10" t="n">
        <x:v>46092</x:v>
      </x:c>
      <x:c r="B55" t="str">
        <x:v>Dinner</x:v>
      </x:c>
      <x:c r="C55" s="12" t="n">
        <x:v>46092.75</x:v>
      </x:c>
      <x:c r="D55" s="12" t="n">
        <x:v>46093</x:v>
      </x:c>
      <x:c r="E55" s="14" t="n">
        <x:v>6</x:v>
      </x:c>
      <x:c r="F55" s="16" t="n">
        <x:v>65.03</x:v>
      </x:c>
      <x:c r="G55" s="18" t="n">
        <x:v>21.2</x:v>
      </x:c>
      <x:c r="H55" s="20" t="n">
        <x:v>10</x:v>
      </x:c>
      <x:c r="I55" s="16" t="n">
        <x:f>IFERROR(F55/G55,0)</x:f>
        <x:v>3.0674528301886794</x:v>
      </x:c>
      <x:c r="J55" t="str">
        <x:v>Green Valley</x:v>
      </x:c>
      <x:c r="K55" t="str">
        <x:v>No</x:v>
      </x:c>
      <x:c r="L55" s="22" t="str">
        <x:v>Started declining offers below $7 unless mileage was very low.</x:v>
      </x:c>
    </x:row>
    <x:row r="56">
      <x:c r="A56" s="10" t="n">
        <x:v>46094</x:v>
      </x:c>
      <x:c r="B56" t="str">
        <x:v>Weekend Dinner</x:v>
      </x:c>
      <x:c r="C56" s="12" t="n">
        <x:v>46094.729166666664</x:v>
      </x:c>
      <x:c r="D56" s="12" t="n">
        <x:v>46094.90625</x:v>
      </x:c>
      <x:c r="E56" s="14" t="n">
        <x:v>4.25</x:v>
      </x:c>
      <x:c r="F56" s="16" t="n">
        <x:v>72.47</x:v>
      </x:c>
      <x:c r="G56" s="18" t="n">
        <x:v>15.7</x:v>
      </x:c>
      <x:c r="H56" s="20" t="n">
        <x:v>9</x:v>
      </x:c>
      <x:c r="I56" s="16" t="n">
        <x:f>IFERROR(F56/G56,0)</x:f>
        <x:v>4.615923566878981</x:v>
      </x:c>
      <x:c r="J56" t="str">
        <x:v>Green Valley</x:v>
      </x:c>
      <x:c r="K56" t="str">
        <x:v>Yes</x:v>
      </x:c>
      <x:c r="L56" s="22" t="str">
        <x:v>Prioritized reliable merchants with fast pickup times.</x:v>
      </x:c>
    </x:row>
    <x:row r="57">
      <x:c r="A57" s="10" t="n">
        <x:v>46095</x:v>
      </x:c>
      <x:c r="B57" t="str">
        <x:v>Peak Pay</x:v>
      </x:c>
      <x:c r="C57" s="12" t="n">
        <x:v>46095.708333333336</x:v>
      </x:c>
      <x:c r="D57" s="12" t="n">
        <x:v>46095.854166666664</x:v>
      </x:c>
      <x:c r="E57" s="14" t="n">
        <x:v>3.5</x:v>
      </x:c>
      <x:c r="F57" s="16" t="n">
        <x:v>51.83</x:v>
      </x:c>
      <x:c r="G57" s="18" t="n">
        <x:v>13.4</x:v>
      </x:c>
      <x:c r="H57" s="20" t="n">
        <x:v>7</x:v>
      </x:c>
      <x:c r="I57" s="16" t="n">
        <x:f>IFERROR(F57/G57,0)</x:f>
        <x:v>3.8679104477611936</x:v>
      </x:c>
      <x:c r="J57" t="str">
        <x:v>Green Valley</x:v>
      </x:c>
      <x:c r="K57" t="str">
        <x:v>Yes</x:v>
      </x:c>
      <x:c r="L57" s="22" t="str">
        <x:v>Used estimated time per order to protect hourly earnings.</x:v>
      </x:c>
    </x:row>
    <x:row r="58">
      <x:c r="A58" s="10" t="n">
        <x:v>46096</x:v>
      </x:c>
      <x:c r="B58" t="str">
        <x:v>Peak Pay</x:v>
      </x:c>
      <x:c r="C58" s="12" t="n">
        <x:v>46096.708333333336</x:v>
      </x:c>
      <x:c r="D58" s="12" t="n">
        <x:v>46096.90625</x:v>
      </x:c>
      <x:c r="E58" s="14" t="n">
        <x:v>4.75</x:v>
      </x:c>
      <x:c r="F58" s="16" t="n">
        <x:v>84.44</x:v>
      </x:c>
      <x:c r="G58" s="18" t="n">
        <x:v>20.1</x:v>
      </x:c>
      <x:c r="H58" s="20" t="n">
        <x:v>10</x:v>
      </x:c>
      <x:c r="I58" s="16" t="n">
        <x:f>IFERROR(F58/G58,0)</x:f>
        <x:v>4.200995024875621</x:v>
      </x:c>
      <x:c r="J58" t="str">
        <x:v>Henderson</x:v>
      </x:c>
      <x:c r="K58" t="str">
        <x:v>Yes</x:v>
      </x:c>
      <x:c r="L58" s="22" t="str">
        <x:v>Prioritized reliable merchants with fast pickup times.</x:v>
      </x:c>
    </x:row>
    <x:row r="59">
      <x:c r="A59" s="10" t="n">
        <x:v>46100</x:v>
      </x:c>
      <x:c r="B59" t="str">
        <x:v>Dinner</x:v>
      </x:c>
      <x:c r="C59" s="12" t="n">
        <x:v>46100.6875</x:v>
      </x:c>
      <x:c r="D59" s="12" t="n">
        <x:v>46100.833333333336</x:v>
      </x:c>
      <x:c r="E59" s="14" t="n">
        <x:v>3.5</x:v>
      </x:c>
      <x:c r="F59" s="16" t="n">
        <x:v>55.45</x:v>
      </x:c>
      <x:c r="G59" s="18" t="n">
        <x:v>13.6</x:v>
      </x:c>
      <x:c r="H59" s="20" t="n">
        <x:v>7</x:v>
      </x:c>
      <x:c r="I59" s="16" t="n">
        <x:f>IFERROR(F59/G59,0)</x:f>
        <x:v>4.077205882352941</x:v>
      </x:c>
      <x:c r="J59" t="str">
        <x:v>Green Valley</x:v>
      </x:c>
      <x:c r="K59" t="str">
        <x:v>Yes</x:v>
      </x:c>
      <x:c r="L59" s="22" t="str">
        <x:v>Applied $7+ order and $2/mile targets consistently.</x:v>
      </x:c>
    </x:row>
    <x:row r="60">
      <x:c r="A60" s="10" t="n">
        <x:v>46101</x:v>
      </x:c>
      <x:c r="B60" t="str">
        <x:v>Dinner</x:v>
      </x:c>
      <x:c r="C60" s="12" t="n">
        <x:v>46101.666666666664</x:v>
      </x:c>
      <x:c r="D60" s="12" t="n">
        <x:v>46101.833333333336</x:v>
      </x:c>
      <x:c r="E60" s="14" t="n">
        <x:v>4</x:v>
      </x:c>
      <x:c r="F60" s="16" t="n">
        <x:v>79.94</x:v>
      </x:c>
      <x:c r="G60" s="18" t="n">
        <x:v>14.8</x:v>
      </x:c>
      <x:c r="H60" s="20" t="n">
        <x:v>9</x:v>
      </x:c>
      <x:c r="I60" s="16" t="n">
        <x:f>IFERROR(F60/G60,0)</x:f>
        <x:v>5.401351351351351</x:v>
      </x:c>
      <x:c r="J60" t="str">
        <x:v>Summerlin</x:v>
      </x:c>
      <x:c r="K60" t="str">
        <x:v>Yes</x:v>
      </x:c>
      <x:c r="L60" s="22" t="str">
        <x:v>Used estimated time per order to protect hourly earnings.</x:v>
      </x:c>
    </x:row>
    <x:row r="61">
      <x:c r="A61" s="10" t="n">
        <x:v>46102</x:v>
      </x:c>
      <x:c r="B61" t="str">
        <x:v>Dinner</x:v>
      </x:c>
      <x:c r="C61" s="12" t="n">
        <x:v>46102.75</x:v>
      </x:c>
      <x:c r="D61" s="12" t="n">
        <x:v>46102.916666666664</x:v>
      </x:c>
      <x:c r="E61" s="14" t="n">
        <x:v>4</x:v>
      </x:c>
      <x:c r="F61" s="16" t="n">
        <x:v>74.35</x:v>
      </x:c>
      <x:c r="G61" s="18" t="n">
        <x:v>23</x:v>
      </x:c>
      <x:c r="H61" s="20" t="n">
        <x:v>9</x:v>
      </x:c>
      <x:c r="I61" s="16" t="n">
        <x:f>IFERROR(F61/G61,0)</x:f>
        <x:v>3.2326086956521736</x:v>
      </x:c>
      <x:c r="J61" t="str">
        <x:v>Southwest</x:v>
      </x:c>
      <x:c r="K61" t="str">
        <x:v>No</x:v>
      </x:c>
      <x:c r="L61" s="22" t="str">
        <x:v>Worked only the strongest dinner window.</x:v>
      </x:c>
    </x:row>
    <x:row r="62">
      <x:c r="A62" s="10" t="n">
        <x:v>46103</x:v>
      </x:c>
      <x:c r="B62" t="str">
        <x:v>Weekend Dinner</x:v>
      </x:c>
      <x:c r="C62" s="12" t="n">
        <x:v>46103.729166666664</x:v>
      </x:c>
      <x:c r="D62" s="12" t="n">
        <x:v>46103.864583333336</x:v>
      </x:c>
      <x:c r="E62" s="14" t="n">
        <x:v>3.25</x:v>
      </x:c>
      <x:c r="F62" s="16" t="n">
        <x:v>58.46</x:v>
      </x:c>
      <x:c r="G62" s="18" t="n">
        <x:v>18.2</x:v>
      </x:c>
      <x:c r="H62" s="20" t="n">
        <x:v>7</x:v>
      </x:c>
      <x:c r="I62" s="16" t="n">
        <x:f>IFERROR(F62/G62,0)</x:f>
        <x:v>3.2120879120879122</x:v>
      </x:c>
      <x:c r="J62" t="str">
        <x:v>Henderson</x:v>
      </x:c>
      <x:c r="K62" t="str">
        <x:v>Yes</x:v>
      </x:c>
      <x:c r="L62" s="22" t="str">
        <x:v>Declined orders with poor return-mile potential.</x:v>
      </x:c>
    </x:row>
    <x:row r="63">
      <x:c r="A63" s="10" t="n">
        <x:v>46107</x:v>
      </x:c>
      <x:c r="B63" t="str">
        <x:v>Peak Pay</x:v>
      </x:c>
      <x:c r="C63" s="12" t="n">
        <x:v>46107.666666666664</x:v>
      </x:c>
      <x:c r="D63" s="12" t="n">
        <x:v>46107.791666666664</x:v>
      </x:c>
      <x:c r="E63" s="14" t="n">
        <x:v>3</x:v>
      </x:c>
      <x:c r="F63" s="16" t="n">
        <x:v>42.95</x:v>
      </x:c>
      <x:c r="G63" s="18" t="n">
        <x:v>12.9</x:v>
      </x:c>
      <x:c r="H63" s="20" t="n">
        <x:v>5</x:v>
      </x:c>
      <x:c r="I63" s="16" t="n">
        <x:f>IFERROR(F63/G63,0)</x:f>
        <x:v>3.3294573643410854</x:v>
      </x:c>
      <x:c r="J63" t="str">
        <x:v>Southwest</x:v>
      </x:c>
      <x:c r="K63" t="str">
        <x:v>Yes</x:v>
      </x:c>
      <x:c r="L63" s="22" t="str">
        <x:v>Prioritized reliable merchants with fast pickup times.</x:v>
      </x:c>
    </x:row>
    <x:row r="64">
      <x:c r="A64" s="10" t="n">
        <x:v>46108</x:v>
      </x:c>
      <x:c r="B64" t="str">
        <x:v>Weekend Dinner</x:v>
      </x:c>
      <x:c r="C64" s="12" t="n">
        <x:v>46108.75</x:v>
      </x:c>
      <x:c r="D64" s="12" t="n">
        <x:v>46108.947916666664</x:v>
      </x:c>
      <x:c r="E64" s="14" t="n">
        <x:v>4.75</x:v>
      </x:c>
      <x:c r="F64" s="16" t="n">
        <x:v>67.78</x:v>
      </x:c>
      <x:c r="G64" s="18" t="n">
        <x:v>15.3</x:v>
      </x:c>
      <x:c r="H64" s="20" t="n">
        <x:v>9</x:v>
      </x:c>
      <x:c r="I64" s="16" t="n">
        <x:f>IFERROR(F64/G64,0)</x:f>
        <x:v>4.430065359477124</x:v>
      </x:c>
      <x:c r="J64" t="str">
        <x:v>Henderson</x:v>
      </x:c>
      <x:c r="K64" t="str">
        <x:v>No</x:v>
      </x:c>
      <x:c r="L64" s="22" t="str">
        <x:v>Worked only the strongest dinner window.</x:v>
      </x:c>
    </x:row>
    <x:row r="65">
      <x:c r="A65" s="10" t="n">
        <x:v>46109</x:v>
      </x:c>
      <x:c r="B65" t="str">
        <x:v>Weekend Dinner</x:v>
      </x:c>
      <x:c r="C65" s="12" t="n">
        <x:v>46109.6875</x:v>
      </x:c>
      <x:c r="D65" s="12" t="n">
        <x:v>46109.885416666664</x:v>
      </x:c>
      <x:c r="E65" s="14" t="n">
        <x:v>4.75</x:v>
      </x:c>
      <x:c r="F65" s="16" t="n">
        <x:v>84.8</x:v>
      </x:c>
      <x:c r="G65" s="18" t="n">
        <x:v>22.4</x:v>
      </x:c>
      <x:c r="H65" s="20" t="n">
        <x:v>10</x:v>
      </x:c>
      <x:c r="I65" s="16" t="n">
        <x:f>IFERROR(F65/G65,0)</x:f>
        <x:v>3.785714285714286</x:v>
      </x:c>
      <x:c r="J65" t="str">
        <x:v>Green Valley</x:v>
      </x:c>
      <x:c r="K65" t="str">
        <x:v>No</x:v>
      </x:c>
      <x:c r="L65" s="22" t="str">
        <x:v>Worked only the strongest dinner window.</x:v>
      </x:c>
    </x:row>
    <x:row r="66">
      <x:c r="A66" s="10" t="n">
        <x:v>46110</x:v>
      </x:c>
      <x:c r="B66" t="str">
        <x:v>Dinner</x:v>
      </x:c>
      <x:c r="C66" s="12" t="n">
        <x:v>46110.75</x:v>
      </x:c>
      <x:c r="D66" s="12" t="n">
        <x:v>46110.916666666664</x:v>
      </x:c>
      <x:c r="E66" s="14" t="n">
        <x:v>4</x:v>
      </x:c>
      <x:c r="F66" s="16" t="n">
        <x:v>68.92</x:v>
      </x:c>
      <x:c r="G66" s="18" t="n">
        <x:v>12.9</x:v>
      </x:c>
      <x:c r="H66" s="20" t="n">
        <x:v>8</x:v>
      </x:c>
      <x:c r="I66" s="16" t="n">
        <x:f>IFERROR(F66/G66,0)</x:f>
        <x:v>5.342635658914729</x:v>
      </x:c>
      <x:c r="J66" t="str">
        <x:v>Green Valley</x:v>
      </x:c>
      <x:c r="K66" t="str">
        <x:v>Yes</x:v>
      </x:c>
      <x:c r="L66" s="22" t="str">
        <x:v>Applied $7+ order and $2/mile targets consistently.</x:v>
      </x:c>
    </x:row>
    <x:row r="67">
      <x:c r="A67" s="10" t="n">
        <x:v>46117</x:v>
      </x:c>
      <x:c r="B67" t="str">
        <x:v>Weekend Dinner</x:v>
      </x:c>
      <x:c r="C67" s="12" t="n">
        <x:v>46117.75</x:v>
      </x:c>
      <x:c r="D67" s="12" t="n">
        <x:v>46117.895833333336</x:v>
      </x:c>
      <x:c r="E67" s="14" t="n">
        <x:v>3.5</x:v>
      </x:c>
      <x:c r="F67" s="16" t="n">
        <x:v>62.56</x:v>
      </x:c>
      <x:c r="G67" s="18" t="n">
        <x:v>15.8</x:v>
      </x:c>
      <x:c r="H67" s="20" t="n">
        <x:v>8</x:v>
      </x:c>
      <x:c r="I67" s="16" t="n">
        <x:f>IFERROR(F67/G67,0)</x:f>
        <x:v>3.9594936708860757</x:v>
      </x:c>
      <x:c r="J67" t="str">
        <x:v>Southwest</x:v>
      </x:c>
      <x:c r="K67" t="str">
        <x:v>No</x:v>
      </x:c>
      <x:c r="L67" s="22" t="str">
        <x:v>Applied $7+ order and $2/mile targets consistently.</x:v>
      </x:c>
    </x:row>
    <x:row r="68">
      <x:c r="A68" s="10" t="n">
        <x:v>46121</x:v>
      </x:c>
      <x:c r="B68" t="str">
        <x:v>Dinner</x:v>
      </x:c>
      <x:c r="C68" s="12" t="n">
        <x:v>46121.666666666664</x:v>
      </x:c>
      <x:c r="D68" s="12" t="n">
        <x:v>46121.8125</x:v>
      </x:c>
      <x:c r="E68" s="14" t="n">
        <x:v>3.5</x:v>
      </x:c>
      <x:c r="F68" s="16" t="n">
        <x:v>41.87</x:v>
      </x:c>
      <x:c r="G68" s="18" t="n">
        <x:v>12.9</x:v>
      </x:c>
      <x:c r="H68" s="20" t="n">
        <x:v>6</x:v>
      </x:c>
      <x:c r="I68" s="16" t="n">
        <x:f>IFERROR(F68/G68,0)</x:f>
        <x:v>3.245736434108527</x:v>
      </x:c>
      <x:c r="J68" t="str">
        <x:v>Summerlin</x:v>
      </x:c>
      <x:c r="K68" t="str">
        <x:v>No</x:v>
      </x:c>
      <x:c r="L68" s="22" t="str">
        <x:v>Prioritized reliable merchants with fast pickup times.</x:v>
      </x:c>
    </x:row>
    <x:row r="69">
      <x:c r="A69" s="10" t="n">
        <x:v>46123</x:v>
      </x:c>
      <x:c r="B69" t="str">
        <x:v>Weekend Dinner</x:v>
      </x:c>
      <x:c r="C69" s="12" t="n">
        <x:v>46123.75</x:v>
      </x:c>
      <x:c r="D69" s="12" t="n">
        <x:v>46123.90625</x:v>
      </x:c>
      <x:c r="E69" s="14" t="n">
        <x:v>3.75</x:v>
      </x:c>
      <x:c r="F69" s="16" t="n">
        <x:v>58.55</x:v>
      </x:c>
      <x:c r="G69" s="18" t="n">
        <x:v>16.4</x:v>
      </x:c>
      <x:c r="H69" s="20" t="n">
        <x:v>8</x:v>
      </x:c>
      <x:c r="I69" s="16" t="n">
        <x:f>IFERROR(F69/G69,0)</x:f>
        <x:v>3.5701219512195124</x:v>
      </x:c>
      <x:c r="J69" t="str">
        <x:v>Henderson</x:v>
      </x:c>
      <x:c r="K69" t="str">
        <x:v>No</x:v>
      </x:c>
      <x:c r="L69" s="22" t="str">
        <x:v>Used estimated time per order to protect hourly earnings.</x:v>
      </x:c>
    </x:row>
    <x:row r="70">
      <x:c r="A70" s="10" t="n">
        <x:v>46126</x:v>
      </x:c>
      <x:c r="B70" t="str">
        <x:v>Targeted Sprint</x:v>
      </x:c>
      <x:c r="C70" s="12" t="n">
        <x:v>46126.708333333336</x:v>
      </x:c>
      <x:c r="D70" s="12" t="n">
        <x:v>46126.885416666664</x:v>
      </x:c>
      <x:c r="E70" s="14" t="n">
        <x:v>4.25</x:v>
      </x:c>
      <x:c r="F70" s="16" t="n">
        <x:v>59.95</x:v>
      </x:c>
      <x:c r="G70" s="18" t="n">
        <x:v>17.1</x:v>
      </x:c>
      <x:c r="H70" s="20" t="n">
        <x:v>8</x:v>
      </x:c>
      <x:c r="I70" s="16" t="n">
        <x:f>IFERROR(F70/G70,0)</x:f>
        <x:v>3.505847953216374</x:v>
      </x:c>
      <x:c r="J70" t="str">
        <x:v>Green Valley</x:v>
      </x:c>
      <x:c r="K70" t="str">
        <x:v>No</x:v>
      </x:c>
      <x:c r="L70" s="22" t="str">
        <x:v>Used estimated time per order to protect hourly earnings.</x:v>
      </x:c>
    </x:row>
    <x:row r="71">
      <x:c r="A71" s="10" t="n">
        <x:v>46127</x:v>
      </x:c>
      <x:c r="B71" t="str">
        <x:v>Dinner</x:v>
      </x:c>
      <x:c r="C71" s="12" t="n">
        <x:v>46127.75</x:v>
      </x:c>
      <x:c r="D71" s="12" t="n">
        <x:v>46127.927083333336</x:v>
      </x:c>
      <x:c r="E71" s="14" t="n">
        <x:v>4.25</x:v>
      </x:c>
      <x:c r="F71" s="16" t="n">
        <x:v>63.86</x:v>
      </x:c>
      <x:c r="G71" s="18" t="n">
        <x:v>16.7</x:v>
      </x:c>
      <x:c r="H71" s="20" t="n">
        <x:v>9</x:v>
      </x:c>
      <x:c r="I71" s="16" t="n">
        <x:f>IFERROR(F71/G71,0)</x:f>
        <x:v>3.8239520958083832</x:v>
      </x:c>
      <x:c r="J71" t="str">
        <x:v>Green Valley</x:v>
      </x:c>
      <x:c r="K71" t="str">
        <x:v>No</x:v>
      </x:c>
      <x:c r="L71" s="22" t="str">
        <x:v>Used estimated time per order to protect hourly earnings.</x:v>
      </x:c>
    </x:row>
    <x:row r="72">
      <x:c r="A72" s="10" t="n">
        <x:v>46129</x:v>
      </x:c>
      <x:c r="B72" t="str">
        <x:v>Dinner</x:v>
      </x:c>
      <x:c r="C72" s="12" t="n">
        <x:v>46129.6875</x:v>
      </x:c>
      <x:c r="D72" s="12" t="n">
        <x:v>46129.895833333336</x:v>
      </x:c>
      <x:c r="E72" s="14" t="n">
        <x:v>5</x:v>
      </x:c>
      <x:c r="F72" s="16" t="n">
        <x:v>78.84</x:v>
      </x:c>
      <x:c r="G72" s="18" t="n">
        <x:v>27.5</x:v>
      </x:c>
      <x:c r="H72" s="20" t="n">
        <x:v>11</x:v>
      </x:c>
      <x:c r="I72" s="16" t="n">
        <x:f>IFERROR(F72/G72,0)</x:f>
        <x:v>2.866909090909091</x:v>
      </x:c>
      <x:c r="J72" t="str">
        <x:v>North Las Vegas</x:v>
      </x:c>
      <x:c r="K72" t="str">
        <x:v>No</x:v>
      </x:c>
      <x:c r="L72" s="22" t="str">
        <x:v>Applied $7+ order and $2/mile targets consistently.</x:v>
      </x:c>
    </x:row>
    <x:row r="73">
      <x:c r="A73" s="10" t="n">
        <x:v>46130</x:v>
      </x:c>
      <x:c r="B73" t="str">
        <x:v>Weekend Dinner</x:v>
      </x:c>
      <x:c r="C73" s="12" t="n">
        <x:v>46130.666666666664</x:v>
      </x:c>
      <x:c r="D73" s="12" t="n">
        <x:v>46130.822916666664</x:v>
      </x:c>
      <x:c r="E73" s="14" t="n">
        <x:v>3.75</x:v>
      </x:c>
      <x:c r="F73" s="16" t="n">
        <x:v>67.74</x:v>
      </x:c>
      <x:c r="G73" s="18" t="n">
        <x:v>15.9</x:v>
      </x:c>
      <x:c r="H73" s="20" t="n">
        <x:v>8</x:v>
      </x:c>
      <x:c r="I73" s="16" t="n">
        <x:f>IFERROR(F73/G73,0)</x:f>
        <x:v>4.260377358490565</x:v>
      </x:c>
      <x:c r="J73" t="str">
        <x:v>Henderson</x:v>
      </x:c>
      <x:c r="K73" t="str">
        <x:v>No</x:v>
      </x:c>
      <x:c r="L73" s="22" t="str">
        <x:v>Worked only the strongest dinner window.</x:v>
      </x:c>
    </x:row>
    <x:row r="74">
      <x:c r="A74" s="10" t="n">
        <x:v>46131</x:v>
      </x:c>
      <x:c r="B74" t="str">
        <x:v>Peak Pay</x:v>
      </x:c>
      <x:c r="C74" s="12" t="n">
        <x:v>46131.708333333336</x:v>
      </x:c>
      <x:c r="D74" s="12" t="n">
        <x:v>46131.90625</x:v>
      </x:c>
      <x:c r="E74" s="14" t="n">
        <x:v>4.75</x:v>
      </x:c>
      <x:c r="F74" s="16" t="n">
        <x:v>80.13</x:v>
      </x:c>
      <x:c r="G74" s="18" t="n">
        <x:v>25.9</x:v>
      </x:c>
      <x:c r="H74" s="20" t="n">
        <x:v>9</x:v>
      </x:c>
      <x:c r="I74" s="16" t="n">
        <x:f>IFERROR(F74/G74,0)</x:f>
        <x:v>3.0938223938223937</x:v>
      </x:c>
      <x:c r="J74" t="str">
        <x:v>Summerlin</x:v>
      </x:c>
      <x:c r="K74" t="str">
        <x:v>Yes</x:v>
      </x:c>
      <x:c r="L74" s="22" t="str">
        <x:v>Worked only the strongest dinner window.</x:v>
      </x:c>
    </x:row>
    <x:row r="75">
      <x:c r="A75" s="10" t="n">
        <x:v>46132</x:v>
      </x:c>
      <x:c r="B75" t="str">
        <x:v>Lunch</x:v>
      </x:c>
      <x:c r="C75" s="12" t="n">
        <x:v>46132.46875</x:v>
      </x:c>
      <x:c r="D75" s="12" t="n">
        <x:v>46132.65625</x:v>
      </x:c>
      <x:c r="E75" s="14" t="n">
        <x:v>4.5</x:v>
      </x:c>
      <x:c r="F75" s="16" t="n">
        <x:v>80.78</x:v>
      </x:c>
      <x:c r="G75" s="18" t="n">
        <x:v>17.9</x:v>
      </x:c>
      <x:c r="H75" s="20" t="n">
        <x:v>9</x:v>
      </x:c>
      <x:c r="I75" s="16" t="n">
        <x:f>IFERROR(F75/G75,0)</x:f>
        <x:v>4.5128491620111735</x:v>
      </x:c>
      <x:c r="J75" t="str">
        <x:v>Henderson</x:v>
      </x:c>
      <x:c r="K75" t="str">
        <x:v>No</x:v>
      </x:c>
      <x:c r="L75" s="22" t="str">
        <x:v>Avoided low-value stacks and apartment-heavy routes.</x:v>
      </x:c>
    </x:row>
    <x:row r="76">
      <x:c r="A76" s="10" t="n">
        <x:v>46134</x:v>
      </x:c>
      <x:c r="B76" t="str">
        <x:v>Lunch</x:v>
      </x:c>
      <x:c r="C76" s="12" t="n">
        <x:v>46134.46875</x:v>
      </x:c>
      <x:c r="D76" s="12" t="n">
        <x:v>46134.625</x:v>
      </x:c>
      <x:c r="E76" s="14" t="n">
        <x:v>3.75</x:v>
      </x:c>
      <x:c r="F76" s="16" t="n">
        <x:v>59.07</x:v>
      </x:c>
      <x:c r="G76" s="18" t="n">
        <x:v>12.3</x:v>
      </x:c>
      <x:c r="H76" s="20" t="n">
        <x:v>7</x:v>
      </x:c>
      <x:c r="I76" s="16" t="n">
        <x:f>IFERROR(F76/G76,0)</x:f>
        <x:v>4.802439024390243</x:v>
      </x:c>
      <x:c r="J76" t="str">
        <x:v>Southwest</x:v>
      </x:c>
      <x:c r="K76" t="str">
        <x:v>No</x:v>
      </x:c>
      <x:c r="L76" s="22" t="str">
        <x:v>Worked only the strongest dinner window.</x:v>
      </x:c>
    </x:row>
    <x:row r="77">
      <x:c r="A77" s="10" t="n">
        <x:v>46135</x:v>
      </x:c>
      <x:c r="B77" t="str">
        <x:v>Targeted Sprint</x:v>
      </x:c>
      <x:c r="C77" s="12" t="n">
        <x:v>46135.708333333336</x:v>
      </x:c>
      <x:c r="D77" s="12" t="n">
        <x:v>46135.895833333336</x:v>
      </x:c>
      <x:c r="E77" s="14" t="n">
        <x:v>4.5</x:v>
      </x:c>
      <x:c r="F77" s="16" t="n">
        <x:v>53.3</x:v>
      </x:c>
      <x:c r="G77" s="18" t="n">
        <x:v>21.6</x:v>
      </x:c>
      <x:c r="H77" s="20" t="n">
        <x:v>8</x:v>
      </x:c>
      <x:c r="I77" s="16" t="n">
        <x:f>IFERROR(F77/G77,0)</x:f>
        <x:v>2.467592592592592</x:v>
      </x:c>
      <x:c r="J77" t="str">
        <x:v>Henderson</x:v>
      </x:c>
      <x:c r="K77" t="str">
        <x:v>No</x:v>
      </x:c>
      <x:c r="L77" s="22" t="str">
        <x:v>Declined orders with poor return-mile potential.</x:v>
      </x:c>
    </x:row>
    <x:row r="78">
      <x:c r="A78" s="10" t="n">
        <x:v>46136</x:v>
      </x:c>
      <x:c r="B78" t="str">
        <x:v>Weekend Dinner</x:v>
      </x:c>
      <x:c r="C78" s="12" t="n">
        <x:v>46136.666666666664</x:v>
      </x:c>
      <x:c r="D78" s="12" t="n">
        <x:v>46136.84375</x:v>
      </x:c>
      <x:c r="E78" s="14" t="n">
        <x:v>4.25</x:v>
      </x:c>
      <x:c r="F78" s="16" t="n">
        <x:v>60.94</x:v>
      </x:c>
      <x:c r="G78" s="18" t="n">
        <x:v>17</x:v>
      </x:c>
      <x:c r="H78" s="20" t="n">
        <x:v>8</x:v>
      </x:c>
      <x:c r="I78" s="16" t="n">
        <x:f>IFERROR(F78/G78,0)</x:f>
        <x:v>3.584705882352941</x:v>
      </x:c>
      <x:c r="J78" t="str">
        <x:v>Green Valley</x:v>
      </x:c>
      <x:c r="K78" t="str">
        <x:v>No</x:v>
      </x:c>
      <x:c r="L78" s="22" t="str">
        <x:v>Avoided low-value stacks and apartment-heavy routes.</x:v>
      </x:c>
    </x:row>
    <x:row r="79">
      <x:c r="A79" s="10" t="n">
        <x:v>46138</x:v>
      </x:c>
      <x:c r="B79" t="str">
        <x:v>Weekend Dinner</x:v>
      </x:c>
      <x:c r="C79" s="12" t="n">
        <x:v>46138.75</x:v>
      </x:c>
      <x:c r="D79" s="12" t="n">
        <x:v>46138.927083333336</x:v>
      </x:c>
      <x:c r="E79" s="14" t="n">
        <x:v>4.25</x:v>
      </x:c>
      <x:c r="F79" s="16" t="n">
        <x:v>84.67</x:v>
      </x:c>
      <x:c r="G79" s="18" t="n">
        <x:v>15.1</x:v>
      </x:c>
      <x:c r="H79" s="20" t="n">
        <x:v>10</x:v>
      </x:c>
      <x:c r="I79" s="16" t="n">
        <x:f>IFERROR(F79/G79,0)</x:f>
        <x:v>5.607284768211921</x:v>
      </x:c>
      <x:c r="J79" t="str">
        <x:v>Henderson</x:v>
      </x:c>
      <x:c r="K79" t="str">
        <x:v>No</x:v>
      </x:c>
      <x:c r="L79" s="22" t="str">
        <x:v>Prioritized reliable merchants with fast pickup times.</x:v>
      </x:c>
    </x:row>
    <x:row r="80">
      <x:c r="A80" s="10" t="n">
        <x:v>46141</x:v>
      </x:c>
      <x:c r="B80" t="str">
        <x:v>Lunch</x:v>
      </x:c>
      <x:c r="C80" s="12" t="n">
        <x:v>46141.458333333336</x:v>
      </x:c>
      <x:c r="D80" s="12" t="n">
        <x:v>46141.645833333336</x:v>
      </x:c>
      <x:c r="E80" s="14" t="n">
        <x:v>4.5</x:v>
      </x:c>
      <x:c r="F80" s="16" t="n">
        <x:v>62.14</x:v>
      </x:c>
      <x:c r="G80" s="18" t="n">
        <x:v>23.9</x:v>
      </x:c>
      <x:c r="H80" s="20" t="n">
        <x:v>9</x:v>
      </x:c>
      <x:c r="I80" s="16" t="n">
        <x:f>IFERROR(F80/G80,0)</x:f>
        <x:v>2.6</x:v>
      </x:c>
      <x:c r="J80" t="str">
        <x:v>Green Valley</x:v>
      </x:c>
      <x:c r="K80" t="str">
        <x:v>Yes</x:v>
      </x:c>
      <x:c r="L80" s="22" t="str">
        <x:v>Prioritized reliable merchants with fast pickup times.</x:v>
      </x:c>
    </x:row>
    <x:row r="81">
      <x:c r="A81" s="10" t="n">
        <x:v>46142</x:v>
      </x:c>
      <x:c r="B81" t="str">
        <x:v>Dinner</x:v>
      </x:c>
      <x:c r="C81" s="12" t="n">
        <x:v>46142.75</x:v>
      </x:c>
      <x:c r="D81" s="12" t="n">
        <x:v>46142.96875</x:v>
      </x:c>
      <x:c r="E81" s="14" t="n">
        <x:v>5.25</x:v>
      </x:c>
      <x:c r="F81" s="16" t="n">
        <x:v>79.03</x:v>
      </x:c>
      <x:c r="G81" s="18" t="n">
        <x:v>13.7</x:v>
      </x:c>
      <x:c r="H81" s="20" t="n">
        <x:v>10</x:v>
      </x:c>
      <x:c r="I81" s="16" t="n">
        <x:f>IFERROR(F81/G81,0)</x:f>
        <x:v>5.768613138686132</x:v>
      </x:c>
      <x:c r="J81" t="str">
        <x:v>Green Valley</x:v>
      </x:c>
      <x:c r="K81" t="str">
        <x:v>No</x:v>
      </x:c>
      <x:c r="L81" s="22" t="str">
        <x:v>Prioritized reliable merchants with fast pickup times.</x:v>
      </x:c>
    </x:row>
    <x:row r="82">
      <x:c r="A82" s="10" t="n">
        <x:v>46143</x:v>
      </x:c>
      <x:c r="B82" t="str">
        <x:v>Dinner</x:v>
      </x:c>
      <x:c r="C82" s="12" t="n">
        <x:v>46143.666666666664</x:v>
      </x:c>
      <x:c r="D82" s="12" t="n">
        <x:v>46143.833333333336</x:v>
      </x:c>
      <x:c r="E82" s="14" t="n">
        <x:v>4</x:v>
      </x:c>
      <x:c r="F82" s="16" t="n">
        <x:v>57.61</x:v>
      </x:c>
      <x:c r="G82" s="18" t="n">
        <x:v>15.6</x:v>
      </x:c>
      <x:c r="H82" s="20" t="n">
        <x:v>8</x:v>
      </x:c>
      <x:c r="I82" s="16" t="n">
        <x:f>IFERROR(F82/G82,0)</x:f>
        <x:v>3.692948717948718</x:v>
      </x:c>
      <x:c r="J82" t="str">
        <x:v>Henderson</x:v>
      </x:c>
      <x:c r="K82" t="str">
        <x:v>No</x:v>
      </x:c>
      <x:c r="L82" s="22" t="str">
        <x:v>Worked only the strongest dinner window.</x:v>
      </x:c>
    </x:row>
    <x:row r="83">
      <x:c r="A83" s="10" t="n">
        <x:v>46144</x:v>
      </x:c>
      <x:c r="B83" t="str">
        <x:v>Weekend Dinner</x:v>
      </x:c>
      <x:c r="C83" s="12" t="n">
        <x:v>46144.6875</x:v>
      </x:c>
      <x:c r="D83" s="12" t="n">
        <x:v>46144.84375</x:v>
      </x:c>
      <x:c r="E83" s="14" t="n">
        <x:v>3.75</x:v>
      </x:c>
      <x:c r="F83" s="16" t="n">
        <x:v>59.67</x:v>
      </x:c>
      <x:c r="G83" s="18" t="n">
        <x:v>12.3</x:v>
      </x:c>
      <x:c r="H83" s="20" t="n">
        <x:v>8</x:v>
      </x:c>
      <x:c r="I83" s="16" t="n">
        <x:f>IFERROR(F83/G83,0)</x:f>
        <x:v>4.851219512195121</x:v>
      </x:c>
      <x:c r="J83" t="str">
        <x:v>Henderson</x:v>
      </x:c>
      <x:c r="K83" t="str">
        <x:v>No</x:v>
      </x:c>
      <x:c r="L83" s="22" t="str">
        <x:v>Avoided low-value stacks and apartment-heavy routes.</x:v>
      </x:c>
    </x:row>
    <x:row r="84">
      <x:c r="A84" s="10" t="n">
        <x:v>46145</x:v>
      </x:c>
      <x:c r="B84" t="str">
        <x:v>Dinner</x:v>
      </x:c>
      <x:c r="C84" s="12" t="n">
        <x:v>46145.729166666664</x:v>
      </x:c>
      <x:c r="D84" s="12" t="n">
        <x:v>46145.875</x:v>
      </x:c>
      <x:c r="E84" s="14" t="n">
        <x:v>3.5</x:v>
      </x:c>
      <x:c r="F84" s="16" t="n">
        <x:v>64.71</x:v>
      </x:c>
      <x:c r="G84" s="18" t="n">
        <x:v>12.8</x:v>
      </x:c>
      <x:c r="H84" s="20" t="n">
        <x:v>7</x:v>
      </x:c>
      <x:c r="I84" s="16" t="n">
        <x:f>IFERROR(F84/G84,0)</x:f>
        <x:v>5.055468749999999</x:v>
      </x:c>
      <x:c r="J84" t="str">
        <x:v>Southwest</x:v>
      </x:c>
      <x:c r="K84" t="str">
        <x:v>Yes</x:v>
      </x:c>
      <x:c r="L84" s="22" t="str">
        <x:v>Prioritized reliable merchants with fast pickup times.</x:v>
      </x:c>
    </x:row>
    <x:row r="85">
      <x:c r="A85" s="10" t="n">
        <x:v>46148</x:v>
      </x:c>
      <x:c r="B85" t="str">
        <x:v>Lunch</x:v>
      </x:c>
      <x:c r="C85" s="12" t="n">
        <x:v>46148.46875</x:v>
      </x:c>
      <x:c r="D85" s="12" t="n">
        <x:v>46148.614583333336</x:v>
      </x:c>
      <x:c r="E85" s="14" t="n">
        <x:v>3.5</x:v>
      </x:c>
      <x:c r="F85" s="16" t="n">
        <x:v>63.18</x:v>
      </x:c>
      <x:c r="G85" s="18" t="n">
        <x:v>13.8</x:v>
      </x:c>
      <x:c r="H85" s="20" t="n">
        <x:v>8</x:v>
      </x:c>
      <x:c r="I85" s="16" t="n">
        <x:f>IFERROR(F85/G85,0)</x:f>
        <x:v>4.578260869565217</x:v>
      </x:c>
      <x:c r="J85" t="str">
        <x:v>Henderson</x:v>
      </x:c>
      <x:c r="K85" t="str">
        <x:v>No</x:v>
      </x:c>
      <x:c r="L85" s="22" t="str">
        <x:v>Declined orders with poor return-mile potential.</x:v>
      </x:c>
    </x:row>
    <x:row r="86">
      <x:c r="A86" s="10" t="n">
        <x:v>46150</x:v>
      </x:c>
      <x:c r="B86" t="str">
        <x:v>Weekend Dinner</x:v>
      </x:c>
      <x:c r="C86" s="12" t="n">
        <x:v>46150.666666666664</x:v>
      </x:c>
      <x:c r="D86" s="12" t="n">
        <x:v>46150.84375</x:v>
      </x:c>
      <x:c r="E86" s="14" t="n">
        <x:v>4.25</x:v>
      </x:c>
      <x:c r="F86" s="16" t="n">
        <x:v>80.13</x:v>
      </x:c>
      <x:c r="G86" s="18" t="n">
        <x:v>23.1</x:v>
      </x:c>
      <x:c r="H86" s="20" t="n">
        <x:v>10</x:v>
      </x:c>
      <x:c r="I86" s="16" t="n">
        <x:f>IFERROR(F86/G86,0)</x:f>
        <x:v>3.4688311688311684</x:v>
      </x:c>
      <x:c r="J86" t="str">
        <x:v>Southwest</x:v>
      </x:c>
      <x:c r="K86" t="str">
        <x:v>No</x:v>
      </x:c>
      <x:c r="L86" s="22" t="str">
        <x:v>Prioritized reliable merchants with fast pickup times.</x:v>
      </x:c>
    </x:row>
    <x:row r="87">
      <x:c r="A87" s="10" t="n">
        <x:v>46151</x:v>
      </x:c>
      <x:c r="B87" t="str">
        <x:v>Weekend Dinner</x:v>
      </x:c>
      <x:c r="C87" s="12" t="n">
        <x:v>46151.6875</x:v>
      </x:c>
      <x:c r="D87" s="12" t="n">
        <x:v>46151.875</x:v>
      </x:c>
      <x:c r="E87" s="14" t="n">
        <x:v>4.5</x:v>
      </x:c>
      <x:c r="F87" s="16" t="n">
        <x:v>86.23</x:v>
      </x:c>
      <x:c r="G87" s="18" t="n">
        <x:v>16.8</x:v>
      </x:c>
      <x:c r="H87" s="20" t="n">
        <x:v>10</x:v>
      </x:c>
      <x:c r="I87" s="16" t="n">
        <x:f>IFERROR(F87/G87,0)</x:f>
        <x:v>5.132738095238095</x:v>
      </x:c>
      <x:c r="J87" t="str">
        <x:v>Southwest</x:v>
      </x:c>
      <x:c r="K87" t="str">
        <x:v>No</x:v>
      </x:c>
      <x:c r="L87" s="22" t="str">
        <x:v>Prioritized reliable merchants with fast pickup times.</x:v>
      </x:c>
    </x:row>
    <x:row r="88">
      <x:c r="A88" s="10" t="n">
        <x:v>46156</x:v>
      </x:c>
      <x:c r="B88" t="str">
        <x:v>Targeted Sprint</x:v>
      </x:c>
      <x:c r="C88" s="12" t="n">
        <x:v>46156.666666666664</x:v>
      </x:c>
      <x:c r="D88" s="12" t="n">
        <x:v>46156.864583333336</x:v>
      </x:c>
      <x:c r="E88" s="14" t="n">
        <x:v>4.75</x:v>
      </x:c>
      <x:c r="F88" s="16" t="n">
        <x:v>65.74</x:v>
      </x:c>
      <x:c r="G88" s="18" t="n">
        <x:v>22</x:v>
      </x:c>
      <x:c r="H88" s="20" t="n">
        <x:v>10</x:v>
      </x:c>
      <x:c r="I88" s="16" t="n">
        <x:f>IFERROR(F88/G88,0)</x:f>
        <x:v>2.988181818181818</x:v>
      </x:c>
      <x:c r="J88" t="str">
        <x:v>Henderson</x:v>
      </x:c>
      <x:c r="K88" t="str">
        <x:v>No</x:v>
      </x:c>
      <x:c r="L88" s="22" t="str">
        <x:v>Prioritized reliable merchants with fast pickup times.</x:v>
      </x:c>
    </x:row>
    <x:row r="89">
      <x:c r="A89" s="10" t="n">
        <x:v>46157</x:v>
      </x:c>
      <x:c r="B89" t="str">
        <x:v>Dinner</x:v>
      </x:c>
      <x:c r="C89" s="12" t="n">
        <x:v>46157.75</x:v>
      </x:c>
      <x:c r="D89" s="12" t="n">
        <x:v>46157.958333333336</x:v>
      </x:c>
      <x:c r="E89" s="14" t="n">
        <x:v>5</x:v>
      </x:c>
      <x:c r="F89" s="16" t="n">
        <x:v>91.43</x:v>
      </x:c>
      <x:c r="G89" s="18" t="n">
        <x:v>18.8</x:v>
      </x:c>
      <x:c r="H89" s="20" t="n">
        <x:v>12</x:v>
      </x:c>
      <x:c r="I89" s="16" t="n">
        <x:f>IFERROR(F89/G89,0)</x:f>
        <x:v>4.863297872340426</x:v>
      </x:c>
      <x:c r="J89" t="str">
        <x:v>Summerlin</x:v>
      </x:c>
      <x:c r="K89" t="str">
        <x:v>No</x:v>
      </x:c>
      <x:c r="L89" s="22" t="str">
        <x:v>Declined orders with poor return-mile potential.</x:v>
      </x:c>
    </x:row>
    <x:row r="90">
      <x:c r="A90" s="10" t="n">
        <x:v>46163</x:v>
      </x:c>
      <x:c r="B90" t="str">
        <x:v>Peak Pay</x:v>
      </x:c>
      <x:c r="C90" s="12" t="n">
        <x:v>46163.729166666664</x:v>
      </x:c>
      <x:c r="D90" s="12" t="n">
        <x:v>46163.895833333336</x:v>
      </x:c>
      <x:c r="E90" s="14" t="n">
        <x:v>4</x:v>
      </x:c>
      <x:c r="F90" s="16" t="n">
        <x:v>85.35</x:v>
      </x:c>
      <x:c r="G90" s="18" t="n">
        <x:v>14.1</x:v>
      </x:c>
      <x:c r="H90" s="20" t="n">
        <x:v>9</x:v>
      </x:c>
      <x:c r="I90" s="16" t="n">
        <x:f>IFERROR(F90/G90,0)</x:f>
        <x:v>6.053191489361702</x:v>
      </x:c>
      <x:c r="J90" t="str">
        <x:v>Summerlin</x:v>
      </x:c>
      <x:c r="K90" t="str">
        <x:v>Yes</x:v>
      </x:c>
      <x:c r="L90" s="22" t="str">
        <x:v>Accepted only offers meeting payout, mileage, and time criteria.</x:v>
      </x:c>
    </x:row>
    <x:row r="91">
      <x:c r="A91" s="10" t="n">
        <x:v>46164</x:v>
      </x:c>
      <x:c r="B91" t="str">
        <x:v>Targeted Sprint</x:v>
      </x:c>
      <x:c r="C91" s="12" t="n">
        <x:v>46164.6875</x:v>
      </x:c>
      <x:c r="D91" s="12" t="n">
        <x:v>46164.833333333336</x:v>
      </x:c>
      <x:c r="E91" s="14" t="n">
        <x:v>3.5</x:v>
      </x:c>
      <x:c r="F91" s="16" t="n">
        <x:v>69.2</x:v>
      </x:c>
      <x:c r="G91" s="18" t="n">
        <x:v>16.7</x:v>
      </x:c>
      <x:c r="H91" s="20" t="n">
        <x:v>8</x:v>
      </x:c>
      <x:c r="I91" s="16" t="n">
        <x:f>IFERROR(F91/G91,0)</x:f>
        <x:v>4.1437125748503</x:v>
      </x:c>
      <x:c r="J91" t="str">
        <x:v>Henderson</x:v>
      </x:c>
      <x:c r="K91" t="str">
        <x:v>No</x:v>
      </x:c>
      <x:c r="L91" s="22" t="str">
        <x:v>Maintained $7+ order floor with limited strategic exceptions.</x:v>
      </x:c>
    </x:row>
    <x:row r="92">
      <x:c r="A92" s="10" t="n">
        <x:v>46166</x:v>
      </x:c>
      <x:c r="B92" t="str">
        <x:v>Peak Pay</x:v>
      </x:c>
      <x:c r="C92" s="12" t="n">
        <x:v>46166.729166666664</x:v>
      </x:c>
      <x:c r="D92" s="12" t="n">
        <x:v>46166.885416666664</x:v>
      </x:c>
      <x:c r="E92" s="14" t="n">
        <x:v>3.75</x:v>
      </x:c>
      <x:c r="F92" s="16" t="n">
        <x:v>85.23</x:v>
      </x:c>
      <x:c r="G92" s="18" t="n">
        <x:v>11.3</x:v>
      </x:c>
      <x:c r="H92" s="20" t="n">
        <x:v>10</x:v>
      </x:c>
      <x:c r="I92" s="16" t="n">
        <x:f>IFERROR(F92/G92,0)</x:f>
        <x:v>7.542477876106195</x:v>
      </x:c>
      <x:c r="J92" t="str">
        <x:v>Summerlin</x:v>
      </x:c>
      <x:c r="K92" t="str">
        <x:v>Yes</x:v>
      </x:c>
      <x:c r="L92" s="22" t="str">
        <x:v>Strong zone positioning reduced idle time and dead miles.</x:v>
      </x:c>
    </x:row>
    <x:row r="93">
      <x:c r="A93" s="10" t="n">
        <x:v>46168</x:v>
      </x:c>
      <x:c r="B93" t="str">
        <x:v>Dinner</x:v>
      </x:c>
      <x:c r="C93" s="12" t="n">
        <x:v>46168.729166666664</x:v>
      </x:c>
      <x:c r="D93" s="12" t="n">
        <x:v>46168.895833333336</x:v>
      </x:c>
      <x:c r="E93" s="14" t="n">
        <x:v>4</x:v>
      </x:c>
      <x:c r="F93" s="16" t="n">
        <x:v>73.05</x:v>
      </x:c>
      <x:c r="G93" s="18" t="n">
        <x:v>15.5</x:v>
      </x:c>
      <x:c r="H93" s="20" t="n">
        <x:v>9</x:v>
      </x:c>
      <x:c r="I93" s="16" t="n">
        <x:f>IFERROR(F93/G93,0)</x:f>
        <x:v>4.712903225806452</x:v>
      </x:c>
      <x:c r="J93" t="str">
        <x:v>Henderson</x:v>
      </x:c>
      <x:c r="K93" t="str">
        <x:v>Yes</x:v>
      </x:c>
      <x:c r="L93" s="22" t="str">
        <x:v>Targeted high-volume merchants and ended after the dinner peak.</x:v>
      </x:c>
    </x:row>
    <x:row r="94">
      <x:c r="A94" s="10" t="n">
        <x:v>46170</x:v>
      </x:c>
      <x:c r="B94" t="str">
        <x:v>Lunch</x:v>
      </x:c>
      <x:c r="C94" s="12" t="n">
        <x:v>46170.479166666664</x:v>
      </x:c>
      <x:c r="D94" s="12" t="n">
        <x:v>46170.614583333336</x:v>
      </x:c>
      <x:c r="E94" s="14" t="n">
        <x:v>3.25</x:v>
      </x:c>
      <x:c r="F94" s="16" t="n">
        <x:v>69.63</x:v>
      </x:c>
      <x:c r="G94" s="18" t="n">
        <x:v>12.5</x:v>
      </x:c>
      <x:c r="H94" s="20" t="n">
        <x:v>7</x:v>
      </x:c>
      <x:c r="I94" s="16" t="n">
        <x:f>IFERROR(F94/G94,0)</x:f>
        <x:v>5.570399999999999</x:v>
      </x:c>
      <x:c r="J94" t="str">
        <x:v>Henderson</x:v>
      </x:c>
      <x:c r="K94" t="str">
        <x:v>No</x:v>
      </x:c>
      <x:c r="L94" s="22" t="str">
        <x:v>Maintained $7+ order floor with limited strategic exceptions.</x:v>
      </x:c>
    </x:row>
    <x:row r="95">
      <x:c r="A95" s="10" t="n">
        <x:v>46172</x:v>
      </x:c>
      <x:c r="B95" t="str">
        <x:v>Peak Pay</x:v>
      </x:c>
      <x:c r="C95" s="12" t="n">
        <x:v>46172.708333333336</x:v>
      </x:c>
      <x:c r="D95" s="12" t="n">
        <x:v>46172.84375</x:v>
      </x:c>
      <x:c r="E95" s="14" t="n">
        <x:v>3.25</x:v>
      </x:c>
      <x:c r="F95" s="16" t="n">
        <x:v>59.36</x:v>
      </x:c>
      <x:c r="G95" s="18" t="n">
        <x:v>12.2</x:v>
      </x:c>
      <x:c r="H95" s="20" t="n">
        <x:v>6</x:v>
      </x:c>
      <x:c r="I95" s="16" t="n">
        <x:f>IFERROR(F95/G95,0)</x:f>
        <x:v>4.865573770491803</x:v>
      </x:c>
      <x:c r="J95" t="str">
        <x:v>Green Valley</x:v>
      </x:c>
      <x:c r="K95" t="str">
        <x:v>Yes</x:v>
      </x:c>
      <x:c r="L95" s="22" t="str">
        <x:v>Stopped when order quality dropped instead of extending the shift.</x:v>
      </x:c>
    </x:row>
    <x:row r="96">
      <x:c r="A96" s="10" t="n">
        <x:v>46173</x:v>
      </x:c>
      <x:c r="B96" t="str">
        <x:v>Weekend Dinner</x:v>
      </x:c>
      <x:c r="C96" s="12" t="n">
        <x:v>46173.666666666664</x:v>
      </x:c>
      <x:c r="D96" s="12" t="n">
        <x:v>46173.78125</x:v>
      </x:c>
      <x:c r="E96" s="14" t="n">
        <x:v>2.75</x:v>
      </x:c>
      <x:c r="F96" s="16" t="n">
        <x:v>51.33</x:v>
      </x:c>
      <x:c r="G96" s="18" t="n">
        <x:v>14.1</x:v>
      </x:c>
      <x:c r="H96" s="20" t="n">
        <x:v>5</x:v>
      </x:c>
      <x:c r="I96" s="16" t="n">
        <x:f>IFERROR(F96/G96,0)</x:f>
        <x:v>3.6404255319148935</x:v>
      </x:c>
      <x:c r="J96" t="str">
        <x:v>North Las Vegas</x:v>
      </x:c>
      <x:c r="K96" t="str">
        <x:v>Yes</x:v>
      </x:c>
      <x:c r="L96" s="22" t="str">
        <x:v>Strong zone positioning reduced idle time and dead miles.</x:v>
      </x:c>
    </x:row>
    <x:row r="97">
      <x:c r="A97" s="10" t="n">
        <x:v>46176</x:v>
      </x:c>
      <x:c r="B97" t="str">
        <x:v>Peak Pay</x:v>
      </x:c>
      <x:c r="C97" s="12" t="n">
        <x:v>46176.6875</x:v>
      </x:c>
      <x:c r="D97" s="12" t="n">
        <x:v>46176.84375</x:v>
      </x:c>
      <x:c r="E97" s="14" t="n">
        <x:v>3.75</x:v>
      </x:c>
      <x:c r="F97" s="16" t="n">
        <x:v>75.55</x:v>
      </x:c>
      <x:c r="G97" s="18" t="n">
        <x:v>11.5</x:v>
      </x:c>
      <x:c r="H97" s="20" t="n">
        <x:v>8</x:v>
      </x:c>
      <x:c r="I97" s="16" t="n">
        <x:f>IFERROR(F97/G97,0)</x:f>
        <x:v>6.569565217391304</x:v>
      </x:c>
      <x:c r="J97" t="str">
        <x:v>Green Valley</x:v>
      </x:c>
      <x:c r="K97" t="str">
        <x:v>Yes</x:v>
      </x:c>
      <x:c r="L97" s="22" t="str">
        <x:v>Accepted only offers meeting payout, mileage, and time criteria.</x:v>
      </x:c>
    </x:row>
    <x:row r="98">
      <x:c r="A98" s="10" t="n">
        <x:v>46180</x:v>
      </x:c>
      <x:c r="B98" t="str">
        <x:v>Dinner</x:v>
      </x:c>
      <x:c r="C98" s="12" t="n">
        <x:v>46180.6875</x:v>
      </x:c>
      <x:c r="D98" s="12" t="n">
        <x:v>46180.822916666664</x:v>
      </x:c>
      <x:c r="E98" s="14" t="n">
        <x:v>3.25</x:v>
      </x:c>
      <x:c r="F98" s="16" t="n">
        <x:v>63.42</x:v>
      </x:c>
      <x:c r="G98" s="18" t="n">
        <x:v>8</x:v>
      </x:c>
      <x:c r="H98" s="20" t="n">
        <x:v>6</x:v>
      </x:c>
      <x:c r="I98" s="16" t="n">
        <x:f>IFERROR(F98/G98,0)</x:f>
        <x:v>7.9275</x:v>
      </x:c>
      <x:c r="J98" t="str">
        <x:v>Henderson</x:v>
      </x:c>
      <x:c r="K98" t="str">
        <x:v>No</x:v>
      </x:c>
      <x:c r="L98" s="22" t="str">
        <x:v>Targeted high-volume merchants and ended after the dinner peak.</x:v>
      </x:c>
    </x:row>
    <x:row r="99">
      <x:c r="A99" s="10" t="n">
        <x:v>46183</x:v>
      </x:c>
      <x:c r="B99" t="str">
        <x:v>Targeted Sprint</x:v>
      </x:c>
      <x:c r="C99" s="12" t="n">
        <x:v>46183.6875</x:v>
      </x:c>
      <x:c r="D99" s="12" t="n">
        <x:v>46183.802083333336</x:v>
      </x:c>
      <x:c r="E99" s="14" t="n">
        <x:v>2.75</x:v>
      </x:c>
      <x:c r="F99" s="16" t="n">
        <x:v>53.76</x:v>
      </x:c>
      <x:c r="G99" s="18" t="n">
        <x:v>8</x:v>
      </x:c>
      <x:c r="H99" s="20" t="n">
        <x:v>6</x:v>
      </x:c>
      <x:c r="I99" s="16" t="n">
        <x:f>IFERROR(F99/G99,0)</x:f>
        <x:v>6.72</x:v>
      </x:c>
      <x:c r="J99" t="str">
        <x:v>Summerlin</x:v>
      </x:c>
      <x:c r="K99" t="str">
        <x:v>No</x:v>
      </x:c>
      <x:c r="L99" s="22" t="str">
        <x:v>Strong zone positioning reduced idle time and dead miles.</x:v>
      </x:c>
    </x:row>
    <x:row r="100">
      <x:c r="A100" s="10" t="n">
        <x:v>46185</x:v>
      </x:c>
      <x:c r="B100" t="str">
        <x:v>Peak Pay</x:v>
      </x:c>
      <x:c r="C100" s="12" t="n">
        <x:v>46185.729166666664</x:v>
      </x:c>
      <x:c r="D100" s="12" t="n">
        <x:v>46185.875</x:v>
      </x:c>
      <x:c r="E100" s="14" t="n">
        <x:v>3.5</x:v>
      </x:c>
      <x:c r="F100" s="16" t="n">
        <x:v>62.3</x:v>
      </x:c>
      <x:c r="G100" s="18" t="n">
        <x:v>19.9</x:v>
      </x:c>
      <x:c r="H100" s="20" t="n">
        <x:v>7</x:v>
      </x:c>
      <x:c r="I100" s="16" t="n">
        <x:f>IFERROR(F100/G100,0)</x:f>
        <x:v>3.130653266331658</x:v>
      </x:c>
      <x:c r="J100" t="str">
        <x:v>North Las Vegas</x:v>
      </x:c>
      <x:c r="K100" t="str">
        <x:v>Yes</x:v>
      </x:c>
      <x:c r="L100" s="22" t="str">
        <x:v>Short, focused shift produced better earnings than older long shifts.</x:v>
      </x:c>
    </x:row>
    <x:row r="101">
      <x:c r="A101" s="10" t="n">
        <x:v>46187</x:v>
      </x:c>
      <x:c r="B101" t="str">
        <x:v>Weekend Dinner</x:v>
      </x:c>
      <x:c r="C101" s="12" t="n">
        <x:v>46187.6875</x:v>
      </x:c>
      <x:c r="D101" s="12" t="n">
        <x:v>46187.854166666664</x:v>
      </x:c>
      <x:c r="E101" s="14" t="n">
        <x:v>4</x:v>
      </x:c>
      <x:c r="F101" s="16" t="n">
        <x:v>76.13</x:v>
      </x:c>
      <x:c r="G101" s="18" t="n">
        <x:v>13.2</x:v>
      </x:c>
      <x:c r="H101" s="20" t="n">
        <x:v>7</x:v>
      </x:c>
      <x:c r="I101" s="16" t="n">
        <x:f>IFERROR(F101/G101,0)</x:f>
        <x:v>5.767424242424243</x:v>
      </x:c>
      <x:c r="J101" t="str">
        <x:v>Green Valley</x:v>
      </x:c>
      <x:c r="K101" t="str">
        <x:v>No</x:v>
      </x:c>
      <x:c r="L101" s="22" t="str">
        <x:v>Short, focused shift produced better earnings than older long shifts.</x:v>
      </x:c>
    </x:row>
    <x:row r="102">
      <x:c r="A102" s="10" t="n">
        <x:v>46189</x:v>
      </x:c>
      <x:c r="B102" t="str">
        <x:v>Targeted Sprint</x:v>
      </x:c>
      <x:c r="C102" s="12" t="n">
        <x:v>46189.666666666664</x:v>
      </x:c>
      <x:c r="D102" s="12" t="n">
        <x:v>46189.864583333336</x:v>
      </x:c>
      <x:c r="E102" s="14" t="n">
        <x:v>4.75</x:v>
      </x:c>
      <x:c r="F102" s="16" t="n">
        <x:v>86.36</x:v>
      </x:c>
      <x:c r="G102" s="18" t="n">
        <x:v>18.4</x:v>
      </x:c>
      <x:c r="H102" s="20" t="n">
        <x:v>9</x:v>
      </x:c>
      <x:c r="I102" s="16" t="n">
        <x:f>IFERROR(F102/G102,0)</x:f>
        <x:v>4.693478260869566</x:v>
      </x:c>
      <x:c r="J102" t="str">
        <x:v>Southwest</x:v>
      </x:c>
      <x:c r="K102" t="str">
        <x:v>No</x:v>
      </x:c>
      <x:c r="L102" s="22" t="str">
        <x:v>Stopped when order quality dropped instead of extending the shift.</x:v>
      </x:c>
    </x:row>
    <x:row r="103">
      <x:c r="A103" s="10" t="n">
        <x:v>46192</x:v>
      </x:c>
      <x:c r="B103" t="str">
        <x:v>Weekend Dinner</x:v>
      </x:c>
      <x:c r="C103" s="12" t="n">
        <x:v>46192.6875</x:v>
      </x:c>
      <x:c r="D103" s="12" t="n">
        <x:v>46192.864583333336</x:v>
      </x:c>
      <x:c r="E103" s="14" t="n">
        <x:v>4.25</x:v>
      </x:c>
      <x:c r="F103" s="16" t="n">
        <x:v>93.5</x:v>
      </x:c>
      <x:c r="G103" s="18" t="n">
        <x:v>16.3</x:v>
      </x:c>
      <x:c r="H103" s="20" t="n">
        <x:v>9</x:v>
      </x:c>
      <x:c r="I103" s="16" t="n">
        <x:f>IFERROR(F103/G103,0)</x:f>
        <x:v>5.736196319018405</x:v>
      </x:c>
      <x:c r="J103" t="str">
        <x:v>Henderson</x:v>
      </x:c>
      <x:c r="K103" t="str">
        <x:v>Yes</x:v>
      </x:c>
      <x:c r="L103" s="22" t="str">
        <x:v>Targeted high-volume merchants and ended after the dinner peak.</x:v>
      </x:c>
    </x:row>
    <x:row r="104">
      <x:c r="A104" s="10" t="n">
        <x:v>46193</x:v>
      </x:c>
      <x:c r="B104" t="str">
        <x:v>Dinner</x:v>
      </x:c>
      <x:c r="C104" s="12" t="n">
        <x:v>46193.708333333336</x:v>
      </x:c>
      <x:c r="D104" s="12" t="n">
        <x:v>46193.84375</x:v>
      </x:c>
      <x:c r="E104" s="14" t="n">
        <x:v>3.25</x:v>
      </x:c>
      <x:c r="F104" s="16" t="n">
        <x:v>68.41</x:v>
      </x:c>
      <x:c r="G104" s="18" t="n">
        <x:v>8</x:v>
      </x:c>
      <x:c r="H104" s="20" t="n">
        <x:v>7</x:v>
      </x:c>
      <x:c r="I104" s="16" t="n">
        <x:f>IFERROR(F104/G104,0)</x:f>
        <x:v>8.55125</x:v>
      </x:c>
      <x:c r="J104" t="str">
        <x:v>Henderson</x:v>
      </x:c>
      <x:c r="K104" t="str">
        <x:v>No</x:v>
      </x:c>
      <x:c r="L104" s="22" t="str">
        <x:v>Targeted high-volume merchants and ended after the dinner peak.</x:v>
      </x:c>
    </x:row>
    <x:row r="105">
      <x:c r="A105" s="10" t="n">
        <x:v>46194</x:v>
      </x:c>
      <x:c r="B105" t="str">
        <x:v>Weekend Dinner</x:v>
      </x:c>
      <x:c r="C105" s="12" t="n">
        <x:v>46194.75</x:v>
      </x:c>
      <x:c r="D105" s="12" t="n">
        <x:v>46194.9375</x:v>
      </x:c>
      <x:c r="E105" s="14" t="n">
        <x:v>4.5</x:v>
      </x:c>
      <x:c r="F105" s="16" t="n">
        <x:v>90.49</x:v>
      </x:c>
      <x:c r="G105" s="18" t="n">
        <x:v>11</x:v>
      </x:c>
      <x:c r="H105" s="20" t="n">
        <x:v>9</x:v>
      </x:c>
      <x:c r="I105" s="16" t="n">
        <x:f>IFERROR(F105/G105,0)</x:f>
        <x:v>8.226363636363637</x:v>
      </x:c>
      <x:c r="J105" t="str">
        <x:v>Henderson</x:v>
      </x:c>
      <x:c r="K105" t="str">
        <x:v>Yes</x:v>
      </x:c>
      <x:c r="L105" s="22" t="str">
        <x:v>Maintained $7+ order floor with limited strategic exceptions.</x:v>
      </x:c>
    </x:row>
    <x:row r="106">
      <x:c r="A106" s="10" t="n">
        <x:v>46198</x:v>
      </x:c>
      <x:c r="B106" t="str">
        <x:v>Dinner</x:v>
      </x:c>
      <x:c r="C106" s="12" t="n">
        <x:v>46198.6875</x:v>
      </x:c>
      <x:c r="D106" s="12" t="n">
        <x:v>46198.84375</x:v>
      </x:c>
      <x:c r="E106" s="14" t="n">
        <x:v>3.75</x:v>
      </x:c>
      <x:c r="F106" s="16" t="n">
        <x:v>65.01</x:v>
      </x:c>
      <x:c r="G106" s="18" t="n">
        <x:v>9.3</x:v>
      </x:c>
      <x:c r="H106" s="20" t="n">
        <x:v>8</x:v>
      </x:c>
      <x:c r="I106" s="16" t="n">
        <x:f>IFERROR(F106/G106,0)</x:f>
        <x:v>6.990322580645161</x:v>
      </x:c>
      <x:c r="J106" t="str">
        <x:v>Henderson</x:v>
      </x:c>
      <x:c r="K106" t="str">
        <x:v>No</x:v>
      </x:c>
      <x:c r="L106" s="22" t="str">
        <x:v>Maintained $7+ order floor with limited strategic exceptions.</x:v>
      </x:c>
    </x:row>
    <x:row r="107">
      <x:c r="A107" s="10" t="n">
        <x:v>46199</x:v>
      </x:c>
      <x:c r="B107" t="str">
        <x:v>Peak Pay</x:v>
      </x:c>
      <x:c r="C107" s="12" t="n">
        <x:v>46199.6875</x:v>
      </x:c>
      <x:c r="D107" s="12" t="n">
        <x:v>46199.802083333336</x:v>
      </x:c>
      <x:c r="E107" s="14" t="n">
        <x:v>2.75</x:v>
      </x:c>
      <x:c r="F107" s="16" t="n">
        <x:v>54.64</x:v>
      </x:c>
      <x:c r="G107" s="18" t="n">
        <x:v>10.7</x:v>
      </x:c>
      <x:c r="H107" s="20" t="n">
        <x:v>6</x:v>
      </x:c>
      <x:c r="I107" s="16" t="n">
        <x:f>IFERROR(F107/G107,0)</x:f>
        <x:v>5.106542056074767</x:v>
      </x:c>
      <x:c r="J107" t="str">
        <x:v>Henderson</x:v>
      </x:c>
      <x:c r="K107" t="str">
        <x:v>Yes</x:v>
      </x:c>
      <x:c r="L107" s="22" t="str">
        <x:v>Accepted only offers meeting payout, mileage, and time criteria.</x:v>
      </x:c>
    </x:row>
    <x:row r="108">
      <x:c r="A108" s="10" t="n">
        <x:v>46200</x:v>
      </x:c>
      <x:c r="B108" t="str">
        <x:v>Peak Pay</x:v>
      </x:c>
      <x:c r="C108" s="12" t="n">
        <x:v>46200.729166666664</x:v>
      </x:c>
      <x:c r="D108" s="12" t="n">
        <x:v>46200.875</x:v>
      </x:c>
      <x:c r="E108" s="14" t="n">
        <x:v>3.5</x:v>
      </x:c>
      <x:c r="F108" s="16" t="n">
        <x:v>60.87</x:v>
      </x:c>
      <x:c r="G108" s="18" t="n">
        <x:v>8.6</x:v>
      </x:c>
      <x:c r="H108" s="20" t="n">
        <x:v>7</x:v>
      </x:c>
      <x:c r="I108" s="16" t="n">
        <x:f>IFERROR(F108/G108,0)</x:f>
        <x:v>7.0779069767441865</x:v>
      </x:c>
      <x:c r="J108" t="str">
        <x:v>Henderson</x:v>
      </x:c>
      <x:c r="K108" t="str">
        <x:v>Yes</x:v>
      </x:c>
      <x:c r="L108" s="22" t="str">
        <x:v>Stopped when order quality dropped instead of extending the shift.</x:v>
      </x:c>
    </x:row>
    <x:row r="109">
      <x:c r="A109" s="10" t="n">
        <x:v>46201</x:v>
      </x:c>
      <x:c r="B109" t="str">
        <x:v>Weekend Dinner</x:v>
      </x:c>
      <x:c r="C109" s="12" t="n">
        <x:v>46201.729166666664</x:v>
      </x:c>
      <x:c r="D109" s="12" t="n">
        <x:v>46201.885416666664</x:v>
      </x:c>
      <x:c r="E109" s="14" t="n">
        <x:v>3.75</x:v>
      </x:c>
      <x:c r="F109" s="16" t="n">
        <x:v>79.21</x:v>
      </x:c>
      <x:c r="G109" s="18" t="n">
        <x:v>17.4</x:v>
      </x:c>
      <x:c r="H109" s="20" t="n">
        <x:v>9</x:v>
      </x:c>
      <x:c r="I109" s="16" t="n">
        <x:f>IFERROR(F109/G109,0)</x:f>
        <x:v>4.552298850574712</x:v>
      </x:c>
      <x:c r="J109" t="str">
        <x:v>Green Valley</x:v>
      </x:c>
      <x:c r="K109" t="str">
        <x:v>No</x:v>
      </x:c>
      <x:c r="L109" s="22" t="str">
        <x:v>Targeted high-volume merchants and ended after the dinner peak.</x:v>
      </x:c>
    </x:row>
    <x:row r="110">
      <x:c r="A110" s="10" t="n">
        <x:v>46202</x:v>
      </x:c>
      <x:c r="B110" t="str">
        <x:v>Dinner</x:v>
      </x:c>
      <x:c r="C110" s="12" t="n">
        <x:v>46202.729166666664</x:v>
      </x:c>
      <x:c r="D110" s="12" t="n">
        <x:v>46202.927083333336</x:v>
      </x:c>
      <x:c r="E110" s="14" t="n">
        <x:v>4.75</x:v>
      </x:c>
      <x:c r="F110" s="16" t="n">
        <x:v>95.04</x:v>
      </x:c>
      <x:c r="G110" s="18" t="n">
        <x:v>15.1</x:v>
      </x:c>
      <x:c r="H110" s="20" t="n">
        <x:v>10</x:v>
      </x:c>
      <x:c r="I110" s="16" t="n">
        <x:f>IFERROR(F110/G110,0)</x:f>
        <x:v>6.2940397350993385</x:v>
      </x:c>
      <x:c r="J110" t="str">
        <x:v>Henderson</x:v>
      </x:c>
      <x:c r="K110" t="str">
        <x:v>Yes</x:v>
      </x:c>
      <x:c r="L110" s="22" t="str">
        <x:v>Short, focused shift produced better earnings than older long shifts.</x:v>
      </x:c>
    </x:row>
    <x:row r="111">
      <x:c r="A111" s="10" t="n">
        <x:v>46204</x:v>
      </x:c>
      <x:c r="B111" t="str">
        <x:v>Peak Pay</x:v>
      </x:c>
      <x:c r="C111" s="12" t="n">
        <x:v>46204.75</x:v>
      </x:c>
      <x:c r="D111" s="12" t="n">
        <x:v>46204.875</x:v>
      </x:c>
      <x:c r="E111" s="14" t="n">
        <x:v>3</x:v>
      </x:c>
      <x:c r="F111" s="16" t="n">
        <x:v>65.66</x:v>
      </x:c>
      <x:c r="G111" s="18" t="n">
        <x:v>10</x:v>
      </x:c>
      <x:c r="H111" s="20" t="n">
        <x:v>7</x:v>
      </x:c>
      <x:c r="I111" s="16" t="n">
        <x:f>IFERROR(F111/G111,0)</x:f>
        <x:v>6.566</x:v>
      </x:c>
      <x:c r="J111" t="str">
        <x:v>Southwest</x:v>
      </x:c>
      <x:c r="K111" t="str">
        <x:v>Yes</x:v>
      </x:c>
      <x:c r="L111" s="22" t="str">
        <x:v>Maintained $7+ order floor with limited strategic exceptions.</x:v>
      </x:c>
    </x:row>
    <x:row r="112">
      <x:c r="A112" s="10" t="n">
        <x:v>46206</x:v>
      </x:c>
      <x:c r="B112" t="str">
        <x:v>Dinner</x:v>
      </x:c>
      <x:c r="C112" s="12" t="n">
        <x:v>46206.666666666664</x:v>
      </x:c>
      <x:c r="D112" s="12" t="n">
        <x:v>46206.854166666664</x:v>
      </x:c>
      <x:c r="E112" s="14" t="n">
        <x:v>4.5</x:v>
      </x:c>
      <x:c r="F112" s="16" t="n">
        <x:v>96.44</x:v>
      </x:c>
      <x:c r="G112" s="18" t="n">
        <x:v>24.3</x:v>
      </x:c>
      <x:c r="H112" s="20" t="n">
        <x:v>11</x:v>
      </x:c>
      <x:c r="I112" s="16" t="n">
        <x:f>IFERROR(F112/G112,0)</x:f>
        <x:v>3.968724279835391</x:v>
      </x:c>
      <x:c r="J112" t="str">
        <x:v>North Las Vegas</x:v>
      </x:c>
      <x:c r="K112" t="str">
        <x:v>Yes</x:v>
      </x:c>
      <x:c r="L112" s="22" t="str">
        <x:v>Stopped when order quality dropped instead of extending the shift.</x:v>
      </x:c>
    </x:row>
    <x:row r="113">
      <x:c r="A113" s="10" t="n">
        <x:v>46208</x:v>
      </x:c>
      <x:c r="B113" t="str">
        <x:v>Weekend Dinner</x:v>
      </x:c>
      <x:c r="C113" s="12" t="n">
        <x:v>46208.666666666664</x:v>
      </x:c>
      <x:c r="D113" s="12" t="n">
        <x:v>46208.822916666664</x:v>
      </x:c>
      <x:c r="E113" s="14" t="n">
        <x:v>3.75</x:v>
      </x:c>
      <x:c r="F113" s="16" t="n">
        <x:v>78.03</x:v>
      </x:c>
      <x:c r="G113" s="18" t="n">
        <x:v>16.4</x:v>
      </x:c>
      <x:c r="H113" s="20" t="n">
        <x:v>8</x:v>
      </x:c>
      <x:c r="I113" s="16" t="n">
        <x:f>IFERROR(F113/G113,0)</x:f>
        <x:v>4.7579268292682935</x:v>
      </x:c>
      <x:c r="J113" t="str">
        <x:v>Southwest</x:v>
      </x:c>
      <x:c r="K113" t="str">
        <x:v>No</x:v>
      </x:c>
      <x:c r="L113" s="22" t="str">
        <x:v>Strong zone positioning reduced idle time and dead miles.</x:v>
      </x:c>
    </x:row>
    <x:row r="114">
      <x:c r="A114" s="10" t="n">
        <x:v>46213</x:v>
      </x:c>
      <x:c r="B114" t="str">
        <x:v>Dinner</x:v>
      </x:c>
      <x:c r="C114" s="12" t="n">
        <x:v>46213.708333333336</x:v>
      </x:c>
      <x:c r="D114" s="12" t="n">
        <x:v>46213.833333333336</x:v>
      </x:c>
      <x:c r="E114" s="14" t="n">
        <x:v>3</x:v>
      </x:c>
      <x:c r="F114" s="16" t="n">
        <x:v>58.37</x:v>
      </x:c>
      <x:c r="G114" s="18" t="n">
        <x:v>8</x:v>
      </x:c>
      <x:c r="H114" s="20" t="n">
        <x:v>5</x:v>
      </x:c>
      <x:c r="I114" s="16" t="n">
        <x:f>IFERROR(F114/G114,0)</x:f>
        <x:v>7.29625</x:v>
      </x:c>
      <x:c r="J114" t="str">
        <x:v>Henderson</x:v>
      </x:c>
      <x:c r="K114" t="str">
        <x:v>No</x:v>
      </x:c>
      <x:c r="L114" s="22" t="str">
        <x:v>Targeted high-volume merchants and ended after the dinner peak.</x:v>
      </x:c>
    </x:row>
    <x:row r="115">
      <x:c r="A115" s="10" t="n">
        <x:v>46214</x:v>
      </x:c>
      <x:c r="B115" t="str">
        <x:v>Peak Pay</x:v>
      </x:c>
      <x:c r="C115" s="12" t="n">
        <x:v>46214.6875</x:v>
      </x:c>
      <x:c r="D115" s="12" t="n">
        <x:v>46214.8125</x:v>
      </x:c>
      <x:c r="E115" s="14" t="n">
        <x:v>3</x:v>
      </x:c>
      <x:c r="F115" s="16" t="n">
        <x:v>61.89</x:v>
      </x:c>
      <x:c r="G115" s="18" t="n">
        <x:v>9.7</x:v>
      </x:c>
      <x:c r="H115" s="20" t="n">
        <x:v>7</x:v>
      </x:c>
      <x:c r="I115" s="16" t="n">
        <x:f>IFERROR(F115/G115,0)</x:f>
        <x:v>6.380412371134021</x:v>
      </x:c>
      <x:c r="J115" t="str">
        <x:v>Henderson</x:v>
      </x:c>
      <x:c r="K115" t="str">
        <x:v>Yes</x:v>
      </x:c>
      <x:c r="L115" s="22" t="str">
        <x:v>Stopped when order quality dropped instead of extending the shift.</x:v>
      </x:c>
    </x:row>
    <x:row r="116">
      <x:c r="A116" s="10" t="n">
        <x:v>46215</x:v>
      </x:c>
      <x:c r="B116" t="str">
        <x:v>Peak Pay</x:v>
      </x:c>
      <x:c r="C116" s="12" t="n">
        <x:v>46215.708333333336</x:v>
      </x:c>
      <x:c r="D116" s="12" t="n">
        <x:v>46215.822916666664</x:v>
      </x:c>
      <x:c r="E116" s="14" t="n">
        <x:v>2.75</x:v>
      </x:c>
      <x:c r="F116" s="16" t="n">
        <x:v>56.87</x:v>
      </x:c>
      <x:c r="G116" s="18" t="n">
        <x:v>12.2</x:v>
      </x:c>
      <x:c r="H116" s="20" t="n">
        <x:v>6</x:v>
      </x:c>
      <x:c r="I116" s="16" t="n">
        <x:f>IFERROR(F116/G116,0)</x:f>
        <x:v>4.661475409836066</x:v>
      </x:c>
      <x:c r="J116" t="str">
        <x:v>Henderson</x:v>
      </x:c>
      <x:c r="K116" t="str">
        <x:v>Yes</x:v>
      </x:c>
      <x:c r="L116" s="22" t="str">
        <x:v>Stopped when order quality dropped instead of extending the shift.</x:v>
      </x:c>
    </x:row>
    <x:row r="117">
      <x:c r="A117" s="10" t="n">
        <x:v>46220</x:v>
      </x:c>
      <x:c r="B117" t="str">
        <x:v>Targeted Sprint</x:v>
      </x:c>
      <x:c r="C117" s="12" t="n">
        <x:v>46220.75</x:v>
      </x:c>
      <x:c r="D117" s="12" t="n">
        <x:v>46220.916666666664</x:v>
      </x:c>
      <x:c r="E117" s="14" t="n">
        <x:v>4</x:v>
      </x:c>
      <x:c r="F117" s="16" t="n">
        <x:v>92.15</x:v>
      </x:c>
      <x:c r="G117" s="18" t="n">
        <x:v>14.4</x:v>
      </x:c>
      <x:c r="H117" s="20" t="n">
        <x:v>10</x:v>
      </x:c>
      <x:c r="I117" s="16" t="n">
        <x:f>IFERROR(F117/G117,0)</x:f>
        <x:v>6.399305555555555</x:v>
      </x:c>
      <x:c r="J117" t="str">
        <x:v>Henderson</x:v>
      </x:c>
      <x:c r="K117" t="str">
        <x:v>Yes</x:v>
      </x:c>
      <x:c r="L117" s="22" t="str">
        <x:v>Strong zone positioning reduced idle time and dead miles.</x:v>
      </x:c>
    </x:row>
    <x:row r="118">
      <x:c r="A118" s="10" t="n">
        <x:v>46221</x:v>
      </x:c>
      <x:c r="B118" t="str">
        <x:v>Dinner</x:v>
      </x:c>
      <x:c r="C118" s="12" t="n">
        <x:v>46221.729166666664</x:v>
      </x:c>
      <x:c r="D118" s="12" t="n">
        <x:v>46221.854166666664</x:v>
      </x:c>
      <x:c r="E118" s="14" t="n">
        <x:v>3</x:v>
      </x:c>
      <x:c r="F118" s="16" t="n">
        <x:v>57.09</x:v>
      </x:c>
      <x:c r="G118" s="18" t="n">
        <x:v>11.3</x:v>
      </x:c>
      <x:c r="H118" s="20" t="n">
        <x:v>6</x:v>
      </x:c>
      <x:c r="I118" s="16" t="n">
        <x:f>IFERROR(F118/G118,0)</x:f>
        <x:v>5.052212389380531</x:v>
      </x:c>
      <x:c r="J118" t="str">
        <x:v>Green Valley</x:v>
      </x:c>
      <x:c r="K118" t="str">
        <x:v>Yes</x:v>
      </x:c>
      <x:c r="L118" s="22" t="str">
        <x:v>Accepted only offers meeting payout, mileage, and time criteria.</x:v>
      </x:c>
    </x:row>
    <x:row r="119">
      <x:c r="A119" s="10" t="n">
        <x:v>46222</x:v>
      </x:c>
      <x:c r="B119" t="str">
        <x:v>Dinner</x:v>
      </x:c>
      <x:c r="C119" s="12" t="n">
        <x:v>46222.729166666664</x:v>
      </x:c>
      <x:c r="D119" s="12" t="n">
        <x:v>46222.875</x:v>
      </x:c>
      <x:c r="E119" s="14" t="n">
        <x:v>3.5</x:v>
      </x:c>
      <x:c r="F119" s="16" t="n">
        <x:v>62.28</x:v>
      </x:c>
      <x:c r="G119" s="18" t="n">
        <x:v>9.8</x:v>
      </x:c>
      <x:c r="H119" s="20" t="n">
        <x:v>7</x:v>
      </x:c>
      <x:c r="I119" s="16" t="n">
        <x:f>IFERROR(F119/G119,0)</x:f>
        <x:v>6.355102040816326</x:v>
      </x:c>
      <x:c r="J119" t="str">
        <x:v>Henderson</x:v>
      </x:c>
      <x:c r="K119" t="str">
        <x:v>No</x:v>
      </x:c>
      <x:c r="L119" s="22" t="str">
        <x:v>Stopped when order quality dropped instead of extending the shift.</x:v>
      </x:c>
    </x:row>
  </x:sheetData>
  <x:conditionalFormatting sqref="I2:I119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conditionalFormatting sqref="F2:F119">
    <x:cfRule type="dataBar" priority="2">
      <x:dataBar>
        <x:cfvo type="min"/>
        <x:cfvo type="max"/>
        <x:color rgb="FFB91C1C"/>
      </x:dataBar>
      <x:extLst>
        <x:ext xmlns:x14="http://schemas.microsoft.com/office/spreadsheetml/2009/9/main" uri="{B025F937-C7B1-47D3-B67F-A62EFF666E3E}">
          <x14:id>{9D1840D8-9DF5-04EB-516E-51037BFEECFD}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21d3ca7ed32a41b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9D1840D8-9DF5-04EB-516E-51037BFEECFD}">
            <x14:dataBar gradient="1">
              <x14:cfvo type="min"/>
              <x14:cfvo type="max"/>
              <x14:fillColor rgb="FFB91C1C"/>
            </x14:dataBar>
          </x14:cfRule>
          <xm:sqref>F2:F119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88" hidden="0" customWidth="1"/>
  </x:cols>
  <x:sheetData>
    <x:row r="1">
      <x:c r="A1" s="34" t="str">
        <x:v>DoorDash Portfolio Analysis Guide</x:v>
      </x:c>
      <x:c r="B1" s="22" t="str"/>
    </x:row>
    <x:row r="2">
      <x:c r="A2" s="31" t="str">
        <x:v>Purpose</x:v>
      </x:c>
      <x:c r="B2" t="str">
        <x:v>Recreate the performance story: longer, inefficient shifts became shorter, more selective, and more profitable.</x:v>
      </x:c>
    </x:row>
    <x:row r="3">
      <x:c r="A3" s="31" t="str">
        <x:v>Recommended calculated metrics</x:v>
      </x:c>
      <x:c r="B3" t="str">
        <x:v>earnings_per_hour = gross_earnings / hours_worked; avg_dollars_per_order = gross_earnings / orders_completed; miles_per_order = estimated_miles / orders_completed</x:v>
      </x:c>
    </x:row>
    <x:row r="4">
      <x:c r="A4" s="31" t="str">
        <x:v>Core KPI cards</x:v>
      </x:c>
      <x:c r="B4" t="str">
        <x:v>Total Earnings; Average $/Hour; Average $/Mile; Average $/Order; Total Orders; Total Miles</x:v>
      </x:c>
    </x:row>
    <x:row r="5">
      <x:c r="A5" s="31" t="str">
        <x:v>Trend visuals</x:v>
      </x:c>
      <x:c r="B5" t="str">
        <x:v>Monthly $/Hour; Monthly $/Mile; Average Shift Length; Average Order Value</x:v>
      </x:c>
    </x:row>
    <x:row r="6">
      <x:c r="A6" s="31" t="str">
        <x:v>Comparison visuals</x:v>
      </x:c>
      <x:c r="B6" t="str">
        <x:v>Zone performance; Shift type performance; Bonus vs. no bonus; early period vs. optimized period</x:v>
      </x:c>
    </x:row>
    <x:row r="7">
      <x:c r="A7" s="31" t="str">
        <x:v>Business question 1</x:v>
      </x:c>
      <x:c r="B7" t="str">
        <x:v>Did selective order acceptance increase hourly earnings?</x:v>
      </x:c>
    </x:row>
    <x:row r="8">
      <x:c r="A8" s="31" t="str">
        <x:v>Business question 2</x:v>
      </x:c>
      <x:c r="B8" t="str">
        <x:v>Which zones and shift windows produced the strongest efficiency?</x:v>
      </x:c>
    </x:row>
    <x:row r="9">
      <x:c r="A9" s="31" t="str">
        <x:v>Business question 3</x:v>
      </x:c>
      <x:c r="B9" t="str">
        <x:v>Did bonus periods improve results, or encourage inefficient driving?</x:v>
      </x:c>
    </x:row>
    <x:row r="10">
      <x:c r="A10" s="31" t="str">
        <x:v>Business question 4</x:v>
      </x:c>
      <x:c r="B10" t="str">
        <x:v>How did shorter targeted shifts compare with long open-schedule shifts?</x:v>
      </x:c>
    </x:row>
    <x:row r="11">
      <x:c r="A11" s="31" t="str">
        <x:v>Portfolio narrative</x:v>
      </x:c>
      <x:c r="B11" t="str">
        <x:v>By implementing payout, mileage, merchant, and time-screening rules, the dasher roughly doubled hourly earnings while cutting shift duration and reducing miles per dollar earned.</x:v>
      </x:c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58" hidden="0" customWidth="1"/>
    <x:col min="3" max="3" width="48" hidden="0" customWidth="1"/>
  </x:cols>
  <x:sheetData>
    <x:row r="1">
      <x:c r="A1" s="36" t="str">
        <x:v>Rule / Test</x:v>
      </x:c>
      <x:c r="B1" s="36" t="str">
        <x:v>How it changes decisions</x:v>
      </x:c>
      <x:c r="C1" s="36" t="str">
        <x:v>Expected analytical impact</x:v>
      </x:c>
    </x:row>
    <x:row r="2">
      <x:c r="A2" t="str">
        <x:v>$7+ per order</x:v>
      </x:c>
      <x:c r="B2" t="str">
        <x:v>Decline low-payout offers unless distance and completion time are unusually favorable.</x:v>
      </x:c>
      <x:c r="C2" t="str">
        <x:v>Raises average dollars per order and protects hourly earnings.</x:v>
      </x:c>
    </x:row>
    <x:row r="3">
      <x:c r="A3" t="str">
        <x:v>Target $2 per mile</x:v>
      </x:c>
      <x:c r="B3" t="str">
        <x:v>Compare displayed payout with estimated trip distance before accepting.</x:v>
      </x:c>
      <x:c r="C3" t="str">
        <x:v>Reduces fuel use, dead miles, and vehicle wear per dollar earned.</x:v>
      </x:c>
    </x:row>
    <x:row r="4">
      <x:c r="A4" t="str">
        <x:v>Preferred merchants</x:v>
      </x:c>
      <x:c r="B4" t="str">
        <x:v>Prioritize merchants with reliable preparation and pickup processes.</x:v>
      </x:c>
      <x:c r="C4" t="str">
        <x:v>Reduces wait time and increases orders completed per hour.</x:v>
      </x:c>
    </x:row>
    <x:row r="5">
      <x:c r="A5" t="str">
        <x:v>Estimated time per order</x:v>
      </x:c>
      <x:c r="B5" t="str">
        <x:v>Consider pickup, drive, drop-off, parking, and likely return time—not only payout.</x:v>
      </x:c>
      <x:c r="C5" t="str">
        <x:v>Prevents high-payout orders that secretly produce a weak hourly rate.</x:v>
      </x:c>
    </x:row>
    <x:row r="6">
      <x:c r="A6" t="str">
        <x:v>Strong zones</x:v>
      </x:c>
      <x:c r="B6" t="str">
        <x:v>Start and reposition in zones with reliable demand and merchant density.</x:v>
      </x:c>
      <x:c r="C6" t="str">
        <x:v>Reduces idle time and increases order quality.</x:v>
      </x:c>
    </x:row>
    <x:row r="7">
      <x:c r="A7" t="str">
        <x:v>Stop-loss rule</x:v>
      </x:c>
      <x:c r="B7" t="str">
        <x:v>End the shift when order quality or hourly performance falls below the target.</x:v>
      </x:c>
      <x:c r="C7" t="str">
        <x:v>Prevents long low-productivity hours from diluting the shift average.</x:v>
      </x:c>
    </x:row>
    <x:row r="8">
      <x:c r="A8" t="str">
        <x:v>Bonus discipline</x:v>
      </x:c>
      <x:c r="B8" t="str">
        <x:v>Treat peak pay as a supplement, not a reason to accept poor mileage or slow merchants.</x:v>
      </x:c>
      <x:c r="C8" t="str">
        <x:v>Separates genuine bonus value from bonus-chasing inefficiency.</x:v>
      </x:c>
    </x:row>
  </x:sheetData>
  <x:pageMargins left="0.7" right="0.7" top="0.75" bottom="0.75" header="0.3" footer="0.3"/>
  <x:tableParts count="1">
    <x:tablePart xmlns:r="http://schemas.openxmlformats.org/officeDocument/2006/relationships" r:id="Rce7856d4fb8f4155"/>
  </x:tableParts>
</x:worksheet>
</file>