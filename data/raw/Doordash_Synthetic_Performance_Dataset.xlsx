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defaultuser0\Documents\nicosys-portfolio-operations-dash\data\raw\"/>
    </mc:Choice>
  </mc:AlternateContent>
  <xr:revisionPtr revIDLastSave="0" documentId="13_ncr:1_{DCE775E5-512A-46A2-A952-16E48F0D4A27}" xr6:coauthVersionLast="47" xr6:coauthVersionMax="47" xr10:uidLastSave="{00000000-0000-0000-0000-000000000000}"/>
  <bookViews>
    <workbookView xWindow="3000" yWindow="3000" windowWidth="17280" windowHeight="9960" xr2:uid="{00000000-000D-0000-FFFF-FFFF00000000}"/>
  </bookViews>
  <sheets>
    <sheet name="Shift_Data" sheetId="1" r:id="rId1"/>
    <sheet name="Analysis_Guide" sheetId="2" r:id="rId2"/>
    <sheet name="Strategy_Rul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19" i="1" l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49" i="1"/>
  <c r="I48" i="1"/>
  <c r="I47" i="1"/>
  <c r="I46" i="1"/>
  <c r="I45" i="1"/>
  <c r="I44" i="1"/>
  <c r="I43" i="1"/>
  <c r="I42" i="1"/>
  <c r="I41" i="1"/>
  <c r="I40" i="1"/>
  <c r="I39" i="1"/>
  <c r="I38" i="1"/>
  <c r="I37" i="1"/>
  <c r="I36" i="1"/>
  <c r="I35" i="1"/>
  <c r="I34" i="1"/>
  <c r="I33" i="1"/>
  <c r="I32" i="1"/>
  <c r="I31" i="1"/>
  <c r="I30" i="1"/>
  <c r="I29" i="1"/>
  <c r="I28" i="1"/>
  <c r="I27" i="1"/>
  <c r="I26" i="1"/>
  <c r="I25" i="1"/>
  <c r="I24" i="1"/>
  <c r="I23" i="1"/>
  <c r="I22" i="1"/>
  <c r="I21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</calcChain>
</file>

<file path=xl/sharedStrings.xml><?xml version="1.0" encoding="utf-8"?>
<sst xmlns="http://schemas.openxmlformats.org/spreadsheetml/2006/main" count="529" uniqueCount="94">
  <si>
    <t>shift_date</t>
  </si>
  <si>
    <t>shift_type</t>
  </si>
  <si>
    <t>start_time</t>
  </si>
  <si>
    <t>end_time</t>
  </si>
  <si>
    <t>hours_worked</t>
  </si>
  <si>
    <t>gross_earnings</t>
  </si>
  <si>
    <t>estimated_miles</t>
  </si>
  <si>
    <t>orders_completed</t>
  </si>
  <si>
    <t>avg_dollars_per_mile</t>
  </si>
  <si>
    <t>bonus_active</t>
  </si>
  <si>
    <t>notes</t>
  </si>
  <si>
    <t>Dinner</t>
  </si>
  <si>
    <t>Southwest</t>
  </si>
  <si>
    <t>No</t>
  </si>
  <si>
    <t>Accepted most offers; several long-distance orders.</t>
  </si>
  <si>
    <t>Lunch</t>
  </si>
  <si>
    <t>Henderson</t>
  </si>
  <si>
    <t>Chased a bonus outside the best zone.</t>
  </si>
  <si>
    <t>Weekend Dinner</t>
  </si>
  <si>
    <t>Long shift with weak late-hour demand.</t>
  </si>
  <si>
    <t>Peak Pay</t>
  </si>
  <si>
    <t>Summerlin</t>
  </si>
  <si>
    <t>Yes</t>
  </si>
  <si>
    <t>Open Schedule</t>
  </si>
  <si>
    <t>No firm minimum payout rule yet.</t>
  </si>
  <si>
    <t>Waited too long at a slow merchant; low order turnover.</t>
  </si>
  <si>
    <t>North Las Vegas</t>
  </si>
  <si>
    <t>Stacked order looked good but added excessive miles.</t>
  </si>
  <si>
    <t>Green Valley</t>
  </si>
  <si>
    <t>Used $1.50/mile as a minimum screening rule.</t>
  </si>
  <si>
    <t>Ended shift earlier when hourly rate began falling.</t>
  </si>
  <si>
    <t>Tested a preferred merchant list; fewer long waits.</t>
  </si>
  <si>
    <t>Started declining offers below $7 unless mileage was very low.</t>
  </si>
  <si>
    <t>Tracked estimated completion time before accepting.</t>
  </si>
  <si>
    <t>Moved back to a stronger zone after demand slowed.</t>
  </si>
  <si>
    <t>Prioritized reliable merchants with fast pickup times.</t>
  </si>
  <si>
    <t>Used estimated time per order to protect hourly earnings.</t>
  </si>
  <si>
    <t>Applied $7+ order and $2/mile targets consistently.</t>
  </si>
  <si>
    <t>Worked only the strongest dinner window.</t>
  </si>
  <si>
    <t>Declined orders with poor return-mile potential.</t>
  </si>
  <si>
    <t>Targeted Sprint</t>
  </si>
  <si>
    <t>Avoided low-value stacks and apartment-heavy routes.</t>
  </si>
  <si>
    <t>Accepted only offers meeting payout, mileage, and time criteria.</t>
  </si>
  <si>
    <t>Maintained $7+ order floor with limited strategic exceptions.</t>
  </si>
  <si>
    <t>Strong zone positioning reduced idle time and dead miles.</t>
  </si>
  <si>
    <t>Targeted high-volume merchants and ended after the dinner peak.</t>
  </si>
  <si>
    <t>Stopped when order quality dropped instead of extending the shift.</t>
  </si>
  <si>
    <t>Short, focused shift produced better earnings than older long shifts.</t>
  </si>
  <si>
    <t>DoorDash Portfolio Analysis Guide</t>
  </si>
  <si>
    <t>Purpose</t>
  </si>
  <si>
    <t>Recreate the performance story: longer, inefficient shifts became shorter, more selective, and more profitable.</t>
  </si>
  <si>
    <t>Recommended calculated metrics</t>
  </si>
  <si>
    <t>earnings_per_hour = gross_earnings / hours_worked; avg_dollars_per_order = gross_earnings / orders_completed; miles_per_order = estimated_miles / orders_completed</t>
  </si>
  <si>
    <t>Core KPI cards</t>
  </si>
  <si>
    <t>Total Earnings; Average $/Hour; Average $/Mile; Average $/Order; Total Orders; Total Miles</t>
  </si>
  <si>
    <t>Trend visuals</t>
  </si>
  <si>
    <t>Monthly $/Hour; Monthly $/Mile; Average Shift Length; Average Order Value</t>
  </si>
  <si>
    <t>Comparison visuals</t>
  </si>
  <si>
    <t>Zone performance; Shift type performance; Bonus vs. no bonus; early period vs. optimized period</t>
  </si>
  <si>
    <t>Business question 1</t>
  </si>
  <si>
    <t>Did selective order acceptance increase hourly earnings?</t>
  </si>
  <si>
    <t>Business question 2</t>
  </si>
  <si>
    <t>Which zones and shift windows produced the strongest efficiency?</t>
  </si>
  <si>
    <t>Business question 3</t>
  </si>
  <si>
    <t>Did bonus periods improve results, or encourage inefficient driving?</t>
  </si>
  <si>
    <t>Business question 4</t>
  </si>
  <si>
    <t>How did shorter targeted shifts compare with long open-schedule shifts?</t>
  </si>
  <si>
    <t>Portfolio narrative</t>
  </si>
  <si>
    <t>By implementing payout, mileage, merchant, and time-screening rules, the dasher roughly doubled hourly earnings while cutting shift duration and reducing miles per dollar earned.</t>
  </si>
  <si>
    <t>Rule / Test</t>
  </si>
  <si>
    <t>How it changes decisions</t>
  </si>
  <si>
    <t>Expected analytical impact</t>
  </si>
  <si>
    <t>$7+ per order</t>
  </si>
  <si>
    <t>Decline low-payout offers unless distance and completion time are unusually favorable.</t>
  </si>
  <si>
    <t>Raises average dollars per order and protects hourly earnings.</t>
  </si>
  <si>
    <t>Target $2 per mile</t>
  </si>
  <si>
    <t>Compare displayed payout with estimated trip distance before accepting.</t>
  </si>
  <si>
    <t>Reduces fuel use, dead miles, and vehicle wear per dollar earned.</t>
  </si>
  <si>
    <t>Preferred merchants</t>
  </si>
  <si>
    <t>Prioritize merchants with reliable preparation and pickup processes.</t>
  </si>
  <si>
    <t>Reduces wait time and increases orders completed per hour.</t>
  </si>
  <si>
    <t>Estimated time per order</t>
  </si>
  <si>
    <t>Consider pickup, drive, drop-off, parking, and likely return time—not only payout.</t>
  </si>
  <si>
    <t>Prevents high-payout orders that secretly produce a weak hourly rate.</t>
  </si>
  <si>
    <t>Strong zones</t>
  </si>
  <si>
    <t>Start and reposition in zones with reliable demand and merchant density.</t>
  </si>
  <si>
    <t>Reduces idle time and increases order quality.</t>
  </si>
  <si>
    <t>Stop-loss rule</t>
  </si>
  <si>
    <t>End the shift when order quality or hourly performance falls below the target.</t>
  </si>
  <si>
    <t>Prevents long low-productivity hours from diluting the shift average.</t>
  </si>
  <si>
    <t>Bonus discipline</t>
  </si>
  <si>
    <t>Treat peak pay as a supplement, not a reason to accept poor mileage or slow merchants.</t>
  </si>
  <si>
    <t>Separates genuine bonus value from bonus-chasing inefficiency.</t>
  </si>
  <si>
    <t>dash_zone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</si>
</sst>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yy"/>
    <numFmt numFmtId="165" formatCode="\$0.00"/>
    <numFmt numFmtId="166" formatCode="0.0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b/>
      <sz val="11"/>
      <color rgb="FF111827"/>
      <name val="Carlito"/>
    </font>
  </fonts>
  <fills count="5">
    <fill>
      <patternFill patternType="none"/>
    </fill>
    <fill>
      <patternFill patternType="gray125"/>
    </fill>
    <fill>
      <patternFill patternType="solid">
        <fgColor rgb="FFB91C1C"/>
      </patternFill>
    </fill>
    <fill>
      <patternFill patternType="solid">
        <fgColor rgb="FF111827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8" fontId="0" fillId="0" borderId="0" xfId="0" applyNumberFormat="1"/>
    <xf numFmtId="2" fontId="0" fillId="0" borderId="0" xfId="0" applyNumberFormat="1"/>
    <xf numFmtId="165" fontId="0" fillId="0" borderId="0" xfId="0" applyNumberFormat="1"/>
    <xf numFmtId="166" fontId="0" fillId="0" borderId="0" xfId="0" applyNumberFormat="1"/>
    <xf numFmtId="1" fontId="0" fillId="0" borderId="0" xfId="0" applyNumberFormat="1"/>
    <xf numFmtId="0" fontId="0" fillId="0" borderId="0" xfId="0" applyAlignment="1">
      <alignment wrapText="1"/>
    </xf>
    <xf numFmtId="0" fontId="3" fillId="4" borderId="0" xfId="0" applyFont="1" applyFill="1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oorDashShiftTable" displayName="DoorDashShiftTable" ref="A1:L119">
  <tableColumns count="12">
    <tableColumn id="1" xr3:uid="{00000000-0010-0000-0000-000001000000}" name="shift_date"/>
    <tableColumn id="2" xr3:uid="{00000000-0010-0000-0000-000002000000}" name="shift_type"/>
    <tableColumn id="3" xr3:uid="{00000000-0010-0000-0000-000003000000}" name="start_time"/>
    <tableColumn id="4" xr3:uid="{00000000-0010-0000-0000-000004000000}" name="end_time"/>
    <tableColumn id="5" xr3:uid="{00000000-0010-0000-0000-000005000000}" name="hours_worked"/>
    <tableColumn id="6" xr3:uid="{00000000-0010-0000-0000-000006000000}" name="gross_earnings"/>
    <tableColumn id="7" xr3:uid="{00000000-0010-0000-0000-000007000000}" name="estimated_miles"/>
    <tableColumn id="8" xr3:uid="{00000000-0010-0000-0000-000008000000}" name="orders_completed"/>
    <tableColumn id="9" xr3:uid="{00000000-0010-0000-0000-000009000000}" name="avg_dollars_per_mile"/>
    <tableColumn id="10" xr3:uid="{00000000-0010-0000-0000-00000A000000}" name="dash_zone"/>
    <tableColumn id="11" xr3:uid="{00000000-0010-0000-0000-00000B000000}" name="bonus_active"/>
    <tableColumn id="12" xr3:uid="{00000000-0010-0000-0000-00000C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trategyRulesTable" displayName="StrategyRulesTable" ref="A1:C8">
  <tableColumns count="3">
    <tableColumn id="1" xr3:uid="{00000000-0010-0000-0100-000001000000}" name="Rule / Test"/>
    <tableColumn id="2" xr3:uid="{00000000-0010-0000-0100-000002000000}" name="How it changes decisions"/>
    <tableColumn id="3" xr3:uid="{00000000-0010-0000-0100-000003000000}" name="Expected analytical impac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9"/>
  <sheetViews>
    <sheetView tabSelected="1" topLeftCell="C1" workbookViewId="0">
      <selection activeCell="J6" sqref="J6"/>
    </sheetView>
  </sheetViews>
  <sheetFormatPr defaultRowHeight="13.8"/>
  <cols>
    <col min="1" max="1" width="13" customWidth="1"/>
    <col min="2" max="2" width="19" customWidth="1"/>
    <col min="3" max="4" width="12" customWidth="1"/>
    <col min="5" max="5" width="14" customWidth="1"/>
    <col min="6" max="7" width="15" customWidth="1"/>
    <col min="8" max="8" width="16" customWidth="1"/>
    <col min="9" max="9" width="20" customWidth="1"/>
    <col min="10" max="10" width="18" customWidth="1"/>
    <col min="11" max="11" width="14" customWidth="1"/>
    <col min="12" max="12" width="44" customWidth="1"/>
  </cols>
  <sheetData>
    <row r="1" spans="1:1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93</v>
      </c>
      <c r="K1" s="1" t="s">
        <v>9</v>
      </c>
      <c r="L1" s="1" t="s">
        <v>10</v>
      </c>
    </row>
    <row r="2" spans="1:12">
      <c r="A2" s="2">
        <v>45964</v>
      </c>
      <c r="B2" t="s">
        <v>11</v>
      </c>
      <c r="C2" s="3">
        <v>45964.708333333336</v>
      </c>
      <c r="D2" s="3">
        <v>45965</v>
      </c>
      <c r="E2" s="4">
        <v>7</v>
      </c>
      <c r="F2" s="5">
        <v>70.739999999999995</v>
      </c>
      <c r="G2" s="6">
        <v>73</v>
      </c>
      <c r="H2" s="7">
        <v>12</v>
      </c>
      <c r="I2" s="5">
        <f t="shared" ref="I2:I33" si="0">IFERROR(F2/G2,0)</f>
        <v>0.96904109589041088</v>
      </c>
      <c r="J2" t="s">
        <v>12</v>
      </c>
      <c r="K2" t="s">
        <v>13</v>
      </c>
      <c r="L2" s="8" t="s">
        <v>14</v>
      </c>
    </row>
    <row r="3" spans="1:12">
      <c r="A3" s="2">
        <v>45967</v>
      </c>
      <c r="B3" t="s">
        <v>15</v>
      </c>
      <c r="C3" s="3">
        <v>45967.447916666664</v>
      </c>
      <c r="D3" s="3">
        <v>45967.708333333336</v>
      </c>
      <c r="E3" s="4">
        <v>6.25</v>
      </c>
      <c r="F3" s="5">
        <v>64.67</v>
      </c>
      <c r="G3" s="6">
        <v>62.4</v>
      </c>
      <c r="H3" s="7">
        <v>10</v>
      </c>
      <c r="I3" s="5">
        <f t="shared" si="0"/>
        <v>1.0363782051282051</v>
      </c>
      <c r="J3" t="s">
        <v>16</v>
      </c>
      <c r="K3" t="s">
        <v>13</v>
      </c>
      <c r="L3" s="8" t="s">
        <v>17</v>
      </c>
    </row>
    <row r="4" spans="1:12">
      <c r="A4" s="2">
        <v>45968</v>
      </c>
      <c r="B4" t="s">
        <v>18</v>
      </c>
      <c r="C4" s="3">
        <v>45968.6875</v>
      </c>
      <c r="D4" s="3">
        <v>45968.90625</v>
      </c>
      <c r="E4" s="4">
        <v>5.25</v>
      </c>
      <c r="F4" s="5">
        <v>52.87</v>
      </c>
      <c r="G4" s="6">
        <v>74.599999999999994</v>
      </c>
      <c r="H4" s="7">
        <v>9</v>
      </c>
      <c r="I4" s="5">
        <f t="shared" si="0"/>
        <v>0.70871313672922254</v>
      </c>
      <c r="J4" t="s">
        <v>16</v>
      </c>
      <c r="K4" t="s">
        <v>13</v>
      </c>
      <c r="L4" s="8" t="s">
        <v>19</v>
      </c>
    </row>
    <row r="5" spans="1:12">
      <c r="A5" s="2">
        <v>45969</v>
      </c>
      <c r="B5" t="s">
        <v>20</v>
      </c>
      <c r="C5" s="3">
        <v>45969.729166666664</v>
      </c>
      <c r="D5" s="3">
        <v>45969.9375</v>
      </c>
      <c r="E5" s="4">
        <v>5</v>
      </c>
      <c r="F5" s="5">
        <v>43.73</v>
      </c>
      <c r="G5" s="6">
        <v>57</v>
      </c>
      <c r="H5" s="7">
        <v>7</v>
      </c>
      <c r="I5" s="5">
        <f t="shared" si="0"/>
        <v>0.76719298245614032</v>
      </c>
      <c r="J5" t="s">
        <v>21</v>
      </c>
      <c r="K5" t="s">
        <v>22</v>
      </c>
      <c r="L5" s="8" t="s">
        <v>17</v>
      </c>
    </row>
    <row r="6" spans="1:12">
      <c r="A6" s="2">
        <v>45970</v>
      </c>
      <c r="B6" t="s">
        <v>23</v>
      </c>
      <c r="C6" s="3">
        <v>45970.604166666664</v>
      </c>
      <c r="D6" s="3">
        <v>45970.833333333336</v>
      </c>
      <c r="E6" s="4">
        <v>5.5</v>
      </c>
      <c r="F6" s="5">
        <v>44.78</v>
      </c>
      <c r="G6" s="6">
        <v>74.900000000000006</v>
      </c>
      <c r="H6" s="7">
        <v>7</v>
      </c>
      <c r="I6" s="5">
        <f t="shared" si="0"/>
        <v>0.59786381842456604</v>
      </c>
      <c r="J6" t="s">
        <v>16</v>
      </c>
      <c r="K6" t="s">
        <v>13</v>
      </c>
      <c r="L6" s="8" t="s">
        <v>19</v>
      </c>
    </row>
    <row r="7" spans="1:12">
      <c r="A7" s="2">
        <v>45975</v>
      </c>
      <c r="B7" t="s">
        <v>11</v>
      </c>
      <c r="C7" s="3">
        <v>45975.729166666664</v>
      </c>
      <c r="D7" s="3">
        <v>45976.052083333336</v>
      </c>
      <c r="E7" s="4">
        <v>7.75</v>
      </c>
      <c r="F7" s="5">
        <v>70.59</v>
      </c>
      <c r="G7" s="6">
        <v>112</v>
      </c>
      <c r="H7" s="7">
        <v>13</v>
      </c>
      <c r="I7" s="5">
        <f t="shared" si="0"/>
        <v>0.63026785714285716</v>
      </c>
      <c r="J7" t="s">
        <v>16</v>
      </c>
      <c r="K7" t="s">
        <v>13</v>
      </c>
      <c r="L7" s="8" t="s">
        <v>24</v>
      </c>
    </row>
    <row r="8" spans="1:12" ht="27.6">
      <c r="A8" s="2">
        <v>45976</v>
      </c>
      <c r="B8" t="s">
        <v>20</v>
      </c>
      <c r="C8" s="3">
        <v>45976.666666666664</v>
      </c>
      <c r="D8" s="3">
        <v>45976.947916666664</v>
      </c>
      <c r="E8" s="4">
        <v>6.75</v>
      </c>
      <c r="F8" s="5">
        <v>75.849999999999994</v>
      </c>
      <c r="G8" s="6">
        <v>94.7</v>
      </c>
      <c r="H8" s="7">
        <v>10</v>
      </c>
      <c r="I8" s="5">
        <f t="shared" si="0"/>
        <v>0.80095036958817312</v>
      </c>
      <c r="J8" t="s">
        <v>12</v>
      </c>
      <c r="K8" t="s">
        <v>22</v>
      </c>
      <c r="L8" s="8" t="s">
        <v>25</v>
      </c>
    </row>
    <row r="9" spans="1:12">
      <c r="A9" s="2">
        <v>45977</v>
      </c>
      <c r="B9" t="s">
        <v>20</v>
      </c>
      <c r="C9" s="3">
        <v>45977.708333333336</v>
      </c>
      <c r="D9" s="3">
        <v>45978</v>
      </c>
      <c r="E9" s="4">
        <v>7</v>
      </c>
      <c r="F9" s="5">
        <v>59.22</v>
      </c>
      <c r="G9" s="6">
        <v>73.3</v>
      </c>
      <c r="H9" s="7">
        <v>8</v>
      </c>
      <c r="I9" s="5">
        <f t="shared" si="0"/>
        <v>0.80791268758526602</v>
      </c>
      <c r="J9" t="s">
        <v>16</v>
      </c>
      <c r="K9" t="s">
        <v>22</v>
      </c>
      <c r="L9" s="8" t="s">
        <v>17</v>
      </c>
    </row>
    <row r="10" spans="1:12">
      <c r="A10" s="2">
        <v>45982</v>
      </c>
      <c r="B10" t="s">
        <v>20</v>
      </c>
      <c r="C10" s="3">
        <v>45982.6875</v>
      </c>
      <c r="D10" s="3">
        <v>45982.96875</v>
      </c>
      <c r="E10" s="4">
        <v>6.75</v>
      </c>
      <c r="F10" s="5">
        <v>74.08</v>
      </c>
      <c r="G10" s="6">
        <v>74.7</v>
      </c>
      <c r="H10" s="7">
        <v>12</v>
      </c>
      <c r="I10" s="5">
        <f t="shared" si="0"/>
        <v>0.99170013386880851</v>
      </c>
      <c r="J10" t="s">
        <v>12</v>
      </c>
      <c r="K10" t="s">
        <v>22</v>
      </c>
      <c r="L10" s="8" t="s">
        <v>19</v>
      </c>
    </row>
    <row r="11" spans="1:12">
      <c r="A11" s="2">
        <v>45983</v>
      </c>
      <c r="B11" t="s">
        <v>11</v>
      </c>
      <c r="C11" s="3">
        <v>45983.75</v>
      </c>
      <c r="D11" s="3">
        <v>45983.989583333336</v>
      </c>
      <c r="E11" s="4">
        <v>5.75</v>
      </c>
      <c r="F11" s="5">
        <v>50.13</v>
      </c>
      <c r="G11" s="6">
        <v>65.7</v>
      </c>
      <c r="H11" s="7">
        <v>9</v>
      </c>
      <c r="I11" s="5">
        <f t="shared" si="0"/>
        <v>0.76301369863013702</v>
      </c>
      <c r="J11" t="s">
        <v>12</v>
      </c>
      <c r="K11" t="s">
        <v>13</v>
      </c>
      <c r="L11" s="8" t="s">
        <v>14</v>
      </c>
    </row>
    <row r="12" spans="1:12" ht="27.6">
      <c r="A12" s="2">
        <v>45984</v>
      </c>
      <c r="B12" t="s">
        <v>11</v>
      </c>
      <c r="C12" s="3">
        <v>45984.666666666664</v>
      </c>
      <c r="D12" s="3">
        <v>45984.947916666664</v>
      </c>
      <c r="E12" s="4">
        <v>6.75</v>
      </c>
      <c r="F12" s="5">
        <v>64.209999999999994</v>
      </c>
      <c r="G12" s="6">
        <v>87.3</v>
      </c>
      <c r="H12" s="7">
        <v>10</v>
      </c>
      <c r="I12" s="5">
        <f t="shared" si="0"/>
        <v>0.73550973654066432</v>
      </c>
      <c r="J12" t="s">
        <v>26</v>
      </c>
      <c r="K12" t="s">
        <v>22</v>
      </c>
      <c r="L12" s="8" t="s">
        <v>27</v>
      </c>
    </row>
    <row r="13" spans="1:12" ht="27.6">
      <c r="A13" s="2">
        <v>45991</v>
      </c>
      <c r="B13" t="s">
        <v>18</v>
      </c>
      <c r="C13" s="3">
        <v>45991.729166666664</v>
      </c>
      <c r="D13" s="3">
        <v>45992.010416666664</v>
      </c>
      <c r="E13" s="4">
        <v>6.75</v>
      </c>
      <c r="F13" s="5">
        <v>45.14</v>
      </c>
      <c r="G13" s="6">
        <v>57.2</v>
      </c>
      <c r="H13" s="7">
        <v>9</v>
      </c>
      <c r="I13" s="5">
        <f t="shared" si="0"/>
        <v>0.78916083916083912</v>
      </c>
      <c r="J13" t="s">
        <v>28</v>
      </c>
      <c r="K13" t="s">
        <v>13</v>
      </c>
      <c r="L13" s="8" t="s">
        <v>27</v>
      </c>
    </row>
    <row r="14" spans="1:12">
      <c r="A14" s="2">
        <v>45993</v>
      </c>
      <c r="B14" t="s">
        <v>23</v>
      </c>
      <c r="C14" s="3">
        <v>45993.625</v>
      </c>
      <c r="D14" s="3">
        <v>45993.875</v>
      </c>
      <c r="E14" s="4">
        <v>6</v>
      </c>
      <c r="F14" s="5">
        <v>58.9</v>
      </c>
      <c r="G14" s="6">
        <v>94.3</v>
      </c>
      <c r="H14" s="7">
        <v>10</v>
      </c>
      <c r="I14" s="5">
        <f t="shared" si="0"/>
        <v>0.62460233297985157</v>
      </c>
      <c r="J14" t="s">
        <v>16</v>
      </c>
      <c r="K14" t="s">
        <v>13</v>
      </c>
      <c r="L14" s="8" t="s">
        <v>19</v>
      </c>
    </row>
    <row r="15" spans="1:12">
      <c r="A15" s="2">
        <v>45994</v>
      </c>
      <c r="B15" t="s">
        <v>23</v>
      </c>
      <c r="C15" s="3">
        <v>45994.604166666664</v>
      </c>
      <c r="D15" s="3">
        <v>45994.854166666664</v>
      </c>
      <c r="E15" s="4">
        <v>6</v>
      </c>
      <c r="F15" s="5">
        <v>52.21</v>
      </c>
      <c r="G15" s="6">
        <v>63.8</v>
      </c>
      <c r="H15" s="7">
        <v>9</v>
      </c>
      <c r="I15" s="5">
        <f t="shared" si="0"/>
        <v>0.81833855799373045</v>
      </c>
      <c r="J15" t="s">
        <v>12</v>
      </c>
      <c r="K15" t="s">
        <v>13</v>
      </c>
      <c r="L15" s="8" t="s">
        <v>24</v>
      </c>
    </row>
    <row r="16" spans="1:12">
      <c r="A16" s="2">
        <v>45996</v>
      </c>
      <c r="B16" t="s">
        <v>20</v>
      </c>
      <c r="C16" s="3">
        <v>45996.6875</v>
      </c>
      <c r="D16" s="3">
        <v>45996.916666666664</v>
      </c>
      <c r="E16" s="4">
        <v>5.5</v>
      </c>
      <c r="F16" s="5">
        <v>52.13</v>
      </c>
      <c r="G16" s="6">
        <v>52.2</v>
      </c>
      <c r="H16" s="7">
        <v>8</v>
      </c>
      <c r="I16" s="5">
        <f t="shared" si="0"/>
        <v>0.99865900383141759</v>
      </c>
      <c r="J16" t="s">
        <v>16</v>
      </c>
      <c r="K16" t="s">
        <v>22</v>
      </c>
      <c r="L16" s="8" t="s">
        <v>17</v>
      </c>
    </row>
    <row r="17" spans="1:12" ht="27.6">
      <c r="A17" s="2">
        <v>45997</v>
      </c>
      <c r="B17" t="s">
        <v>18</v>
      </c>
      <c r="C17" s="3">
        <v>45997.729166666664</v>
      </c>
      <c r="D17" s="3">
        <v>45997.979166666664</v>
      </c>
      <c r="E17" s="4">
        <v>6</v>
      </c>
      <c r="F17" s="5">
        <v>63.92</v>
      </c>
      <c r="G17" s="6">
        <v>67.2</v>
      </c>
      <c r="H17" s="7">
        <v>10</v>
      </c>
      <c r="I17" s="5">
        <f t="shared" si="0"/>
        <v>0.95119047619047614</v>
      </c>
      <c r="J17" t="s">
        <v>21</v>
      </c>
      <c r="K17" t="s">
        <v>13</v>
      </c>
      <c r="L17" s="8" t="s">
        <v>25</v>
      </c>
    </row>
    <row r="18" spans="1:12">
      <c r="A18" s="2">
        <v>45998</v>
      </c>
      <c r="B18" t="s">
        <v>20</v>
      </c>
      <c r="C18" s="3">
        <v>45998.708333333336</v>
      </c>
      <c r="D18" s="3">
        <v>45998.9375</v>
      </c>
      <c r="E18" s="4">
        <v>5.5</v>
      </c>
      <c r="F18" s="5">
        <v>57.07</v>
      </c>
      <c r="G18" s="6">
        <v>59.9</v>
      </c>
      <c r="H18" s="7">
        <v>9</v>
      </c>
      <c r="I18" s="5">
        <f t="shared" si="0"/>
        <v>0.95275459098497495</v>
      </c>
      <c r="J18" t="s">
        <v>26</v>
      </c>
      <c r="K18" t="s">
        <v>22</v>
      </c>
      <c r="L18" s="8" t="s">
        <v>19</v>
      </c>
    </row>
    <row r="19" spans="1:12" ht="27.6">
      <c r="A19" s="2">
        <v>46000</v>
      </c>
      <c r="B19" t="s">
        <v>11</v>
      </c>
      <c r="C19" s="3">
        <v>46000.729166666664</v>
      </c>
      <c r="D19" s="3">
        <v>46000.979166666664</v>
      </c>
      <c r="E19" s="4">
        <v>6</v>
      </c>
      <c r="F19" s="5">
        <v>53.45</v>
      </c>
      <c r="G19" s="6">
        <v>61.2</v>
      </c>
      <c r="H19" s="7">
        <v>9</v>
      </c>
      <c r="I19" s="5">
        <f t="shared" si="0"/>
        <v>0.87336601307189543</v>
      </c>
      <c r="J19" t="s">
        <v>12</v>
      </c>
      <c r="K19" t="s">
        <v>13</v>
      </c>
      <c r="L19" s="8" t="s">
        <v>25</v>
      </c>
    </row>
    <row r="20" spans="1:12">
      <c r="A20" s="2">
        <v>46004</v>
      </c>
      <c r="B20" t="s">
        <v>18</v>
      </c>
      <c r="C20" s="3">
        <v>46004.729166666664</v>
      </c>
      <c r="D20" s="3">
        <v>46005.010416666664</v>
      </c>
      <c r="E20" s="4">
        <v>6.75</v>
      </c>
      <c r="F20" s="5">
        <v>50.43</v>
      </c>
      <c r="G20" s="6">
        <v>79.5</v>
      </c>
      <c r="H20" s="7">
        <v>8</v>
      </c>
      <c r="I20" s="5">
        <f t="shared" si="0"/>
        <v>0.63433962264150945</v>
      </c>
      <c r="J20" t="s">
        <v>28</v>
      </c>
      <c r="K20" t="s">
        <v>13</v>
      </c>
      <c r="L20" s="8" t="s">
        <v>14</v>
      </c>
    </row>
    <row r="21" spans="1:12">
      <c r="A21" s="2">
        <v>46005</v>
      </c>
      <c r="B21" t="s">
        <v>23</v>
      </c>
      <c r="C21" s="3">
        <v>46005.625</v>
      </c>
      <c r="D21" s="3">
        <v>46005.84375</v>
      </c>
      <c r="E21" s="4">
        <v>5.25</v>
      </c>
      <c r="F21" s="5">
        <v>32.409999999999997</v>
      </c>
      <c r="G21" s="6">
        <v>41.4</v>
      </c>
      <c r="H21" s="7">
        <v>6</v>
      </c>
      <c r="I21" s="5">
        <f t="shared" si="0"/>
        <v>0.78285024154589367</v>
      </c>
      <c r="J21" t="s">
        <v>28</v>
      </c>
      <c r="K21" t="s">
        <v>13</v>
      </c>
      <c r="L21" s="8" t="s">
        <v>24</v>
      </c>
    </row>
    <row r="22" spans="1:12" ht="27.6">
      <c r="A22" s="2">
        <v>46010</v>
      </c>
      <c r="B22" t="s">
        <v>18</v>
      </c>
      <c r="C22" s="3">
        <v>46010.6875</v>
      </c>
      <c r="D22" s="3">
        <v>46010.96875</v>
      </c>
      <c r="E22" s="4">
        <v>6.75</v>
      </c>
      <c r="F22" s="5">
        <v>69.72</v>
      </c>
      <c r="G22" s="6">
        <v>68.400000000000006</v>
      </c>
      <c r="H22" s="7">
        <v>12</v>
      </c>
      <c r="I22" s="5">
        <f t="shared" si="0"/>
        <v>1.0192982456140349</v>
      </c>
      <c r="J22" t="s">
        <v>28</v>
      </c>
      <c r="K22" t="s">
        <v>22</v>
      </c>
      <c r="L22" s="8" t="s">
        <v>27</v>
      </c>
    </row>
    <row r="23" spans="1:12">
      <c r="A23" s="2">
        <v>46011</v>
      </c>
      <c r="B23" t="s">
        <v>18</v>
      </c>
      <c r="C23" s="3">
        <v>46011.75</v>
      </c>
      <c r="D23" s="3">
        <v>46012.052083333336</v>
      </c>
      <c r="E23" s="4">
        <v>7.25</v>
      </c>
      <c r="F23" s="5">
        <v>62.01</v>
      </c>
      <c r="G23" s="6">
        <v>78.099999999999994</v>
      </c>
      <c r="H23" s="7">
        <v>13</v>
      </c>
      <c r="I23" s="5">
        <f t="shared" si="0"/>
        <v>0.79398207426376444</v>
      </c>
      <c r="J23" t="s">
        <v>21</v>
      </c>
      <c r="K23" t="s">
        <v>13</v>
      </c>
      <c r="L23" s="8" t="s">
        <v>17</v>
      </c>
    </row>
    <row r="24" spans="1:12" ht="27.6">
      <c r="A24" s="2">
        <v>46012</v>
      </c>
      <c r="B24" t="s">
        <v>11</v>
      </c>
      <c r="C24" s="3">
        <v>46012.708333333336</v>
      </c>
      <c r="D24" s="3">
        <v>46013.010416666664</v>
      </c>
      <c r="E24" s="4">
        <v>7.25</v>
      </c>
      <c r="F24" s="5">
        <v>89.24</v>
      </c>
      <c r="G24" s="6">
        <v>86.6</v>
      </c>
      <c r="H24" s="7">
        <v>13</v>
      </c>
      <c r="I24" s="5">
        <f t="shared" si="0"/>
        <v>1.0304849884526559</v>
      </c>
      <c r="J24" t="s">
        <v>26</v>
      </c>
      <c r="K24" t="s">
        <v>22</v>
      </c>
      <c r="L24" s="8" t="s">
        <v>27</v>
      </c>
    </row>
    <row r="25" spans="1:12">
      <c r="A25" s="2">
        <v>46018</v>
      </c>
      <c r="B25" t="s">
        <v>18</v>
      </c>
      <c r="C25" s="3">
        <v>46018.75</v>
      </c>
      <c r="D25" s="3">
        <v>46019</v>
      </c>
      <c r="E25" s="4">
        <v>6</v>
      </c>
      <c r="F25" s="5">
        <v>46.04</v>
      </c>
      <c r="G25" s="6">
        <v>51.2</v>
      </c>
      <c r="H25" s="7">
        <v>8</v>
      </c>
      <c r="I25" s="5">
        <f t="shared" si="0"/>
        <v>0.89921874999999996</v>
      </c>
      <c r="J25" t="s">
        <v>26</v>
      </c>
      <c r="K25" t="s">
        <v>13</v>
      </c>
      <c r="L25" s="8" t="s">
        <v>17</v>
      </c>
    </row>
    <row r="26" spans="1:12">
      <c r="A26" s="2">
        <v>46019</v>
      </c>
      <c r="B26" t="s">
        <v>18</v>
      </c>
      <c r="C26" s="3">
        <v>46019.729166666664</v>
      </c>
      <c r="D26" s="3">
        <v>46020.020833333336</v>
      </c>
      <c r="E26" s="4">
        <v>7</v>
      </c>
      <c r="F26" s="5">
        <v>69.7</v>
      </c>
      <c r="G26" s="6">
        <v>90.9</v>
      </c>
      <c r="H26" s="7">
        <v>12</v>
      </c>
      <c r="I26" s="5">
        <f t="shared" si="0"/>
        <v>0.7667766776677668</v>
      </c>
      <c r="J26" t="s">
        <v>26</v>
      </c>
      <c r="K26" t="s">
        <v>13</v>
      </c>
      <c r="L26" s="8" t="s">
        <v>19</v>
      </c>
    </row>
    <row r="27" spans="1:12" ht="27.6">
      <c r="A27" s="2">
        <v>46021</v>
      </c>
      <c r="B27" t="s">
        <v>20</v>
      </c>
      <c r="C27" s="3">
        <v>46021.708333333336</v>
      </c>
      <c r="D27" s="3">
        <v>46021.947916666664</v>
      </c>
      <c r="E27" s="4">
        <v>5.75</v>
      </c>
      <c r="F27" s="5">
        <v>53.4</v>
      </c>
      <c r="G27" s="6">
        <v>73.900000000000006</v>
      </c>
      <c r="H27" s="7">
        <v>8</v>
      </c>
      <c r="I27" s="5">
        <f t="shared" si="0"/>
        <v>0.72259810554803783</v>
      </c>
      <c r="J27" t="s">
        <v>28</v>
      </c>
      <c r="K27" t="s">
        <v>22</v>
      </c>
      <c r="L27" s="8" t="s">
        <v>25</v>
      </c>
    </row>
    <row r="28" spans="1:12" ht="27.6">
      <c r="A28" s="2">
        <v>46022</v>
      </c>
      <c r="B28" t="s">
        <v>11</v>
      </c>
      <c r="C28" s="3">
        <v>46022.75</v>
      </c>
      <c r="D28" s="3">
        <v>46023</v>
      </c>
      <c r="E28" s="4">
        <v>6</v>
      </c>
      <c r="F28" s="5">
        <v>46.67</v>
      </c>
      <c r="G28" s="6">
        <v>58.5</v>
      </c>
      <c r="H28" s="7">
        <v>8</v>
      </c>
      <c r="I28" s="5">
        <f t="shared" si="0"/>
        <v>0.79777777777777781</v>
      </c>
      <c r="J28" t="s">
        <v>26</v>
      </c>
      <c r="K28" t="s">
        <v>13</v>
      </c>
      <c r="L28" s="8" t="s">
        <v>25</v>
      </c>
    </row>
    <row r="29" spans="1:12">
      <c r="A29" s="2">
        <v>46025</v>
      </c>
      <c r="B29" t="s">
        <v>20</v>
      </c>
      <c r="C29" s="3">
        <v>46025.75</v>
      </c>
      <c r="D29" s="3">
        <v>46025.96875</v>
      </c>
      <c r="E29" s="4">
        <v>5.25</v>
      </c>
      <c r="F29" s="5">
        <v>77.66</v>
      </c>
      <c r="G29" s="6">
        <v>29.8</v>
      </c>
      <c r="H29" s="7">
        <v>10</v>
      </c>
      <c r="I29" s="5">
        <f t="shared" si="0"/>
        <v>2.6060402684563755</v>
      </c>
      <c r="J29" t="s">
        <v>16</v>
      </c>
      <c r="K29" t="s">
        <v>22</v>
      </c>
      <c r="L29" s="8" t="s">
        <v>29</v>
      </c>
    </row>
    <row r="30" spans="1:12">
      <c r="A30" s="2">
        <v>46026</v>
      </c>
      <c r="B30" t="s">
        <v>18</v>
      </c>
      <c r="C30" s="3">
        <v>46026.708333333336</v>
      </c>
      <c r="D30" s="3">
        <v>46026.9375</v>
      </c>
      <c r="E30" s="4">
        <v>5.5</v>
      </c>
      <c r="F30" s="5">
        <v>54.81</v>
      </c>
      <c r="G30" s="6">
        <v>27.1</v>
      </c>
      <c r="H30" s="7">
        <v>8</v>
      </c>
      <c r="I30" s="5">
        <f t="shared" si="0"/>
        <v>2.022509225092251</v>
      </c>
      <c r="J30" t="s">
        <v>26</v>
      </c>
      <c r="K30" t="s">
        <v>13</v>
      </c>
      <c r="L30" s="8" t="s">
        <v>30</v>
      </c>
    </row>
    <row r="31" spans="1:12">
      <c r="A31" s="2">
        <v>46030</v>
      </c>
      <c r="B31" t="s">
        <v>11</v>
      </c>
      <c r="C31" s="3">
        <v>46030.729166666664</v>
      </c>
      <c r="D31" s="3">
        <v>46030.916666666664</v>
      </c>
      <c r="E31" s="4">
        <v>4.5</v>
      </c>
      <c r="F31" s="5">
        <v>43.39</v>
      </c>
      <c r="G31" s="6">
        <v>24</v>
      </c>
      <c r="H31" s="7">
        <v>8</v>
      </c>
      <c r="I31" s="5">
        <f t="shared" si="0"/>
        <v>1.8079166666666666</v>
      </c>
      <c r="J31" t="s">
        <v>16</v>
      </c>
      <c r="K31" t="s">
        <v>13</v>
      </c>
      <c r="L31" s="8" t="s">
        <v>31</v>
      </c>
    </row>
    <row r="32" spans="1:12">
      <c r="A32" s="2">
        <v>46031</v>
      </c>
      <c r="B32" t="s">
        <v>20</v>
      </c>
      <c r="C32" s="3">
        <v>46031.6875</v>
      </c>
      <c r="D32" s="3">
        <v>46031.916666666664</v>
      </c>
      <c r="E32" s="4">
        <v>5.5</v>
      </c>
      <c r="F32" s="5">
        <v>61.67</v>
      </c>
      <c r="G32" s="6">
        <v>16.5</v>
      </c>
      <c r="H32" s="7">
        <v>9</v>
      </c>
      <c r="I32" s="5">
        <f t="shared" si="0"/>
        <v>3.7375757575757578</v>
      </c>
      <c r="J32" t="s">
        <v>12</v>
      </c>
      <c r="K32" t="s">
        <v>22</v>
      </c>
      <c r="L32" s="8" t="s">
        <v>29</v>
      </c>
    </row>
    <row r="33" spans="1:12">
      <c r="A33" s="2">
        <v>46033</v>
      </c>
      <c r="B33" t="s">
        <v>18</v>
      </c>
      <c r="C33" s="3">
        <v>46033.6875</v>
      </c>
      <c r="D33" s="3">
        <v>46033.895833333336</v>
      </c>
      <c r="E33" s="4">
        <v>5</v>
      </c>
      <c r="F33" s="5">
        <v>53.75</v>
      </c>
      <c r="G33" s="6">
        <v>19.100000000000001</v>
      </c>
      <c r="H33" s="7">
        <v>8</v>
      </c>
      <c r="I33" s="5">
        <f t="shared" si="0"/>
        <v>2.8141361256544499</v>
      </c>
      <c r="J33" t="s">
        <v>16</v>
      </c>
      <c r="K33" t="s">
        <v>13</v>
      </c>
      <c r="L33" s="8" t="s">
        <v>29</v>
      </c>
    </row>
    <row r="34" spans="1:12" ht="27.6">
      <c r="A34" s="2">
        <v>46037</v>
      </c>
      <c r="B34" t="s">
        <v>11</v>
      </c>
      <c r="C34" s="3">
        <v>46037.666666666664</v>
      </c>
      <c r="D34" s="3">
        <v>46037.864583333336</v>
      </c>
      <c r="E34" s="4">
        <v>4.75</v>
      </c>
      <c r="F34" s="5">
        <v>61.97</v>
      </c>
      <c r="G34" s="6">
        <v>24.8</v>
      </c>
      <c r="H34" s="7">
        <v>9</v>
      </c>
      <c r="I34" s="5">
        <f t="shared" ref="I34:I65" si="1">IFERROR(F34/G34,0)</f>
        <v>2.4987903225806449</v>
      </c>
      <c r="J34" t="s">
        <v>16</v>
      </c>
      <c r="K34" t="s">
        <v>13</v>
      </c>
      <c r="L34" s="8" t="s">
        <v>32</v>
      </c>
    </row>
    <row r="35" spans="1:12">
      <c r="A35" s="2">
        <v>46046</v>
      </c>
      <c r="B35" t="s">
        <v>11</v>
      </c>
      <c r="C35" s="3">
        <v>46046.708333333336</v>
      </c>
      <c r="D35" s="3">
        <v>46046.9375</v>
      </c>
      <c r="E35" s="4">
        <v>5.5</v>
      </c>
      <c r="F35" s="5">
        <v>81.02</v>
      </c>
      <c r="G35" s="6">
        <v>27.1</v>
      </c>
      <c r="H35" s="7">
        <v>11</v>
      </c>
      <c r="I35" s="5">
        <f t="shared" si="1"/>
        <v>2.9896678966789665</v>
      </c>
      <c r="J35" t="s">
        <v>28</v>
      </c>
      <c r="K35" t="s">
        <v>13</v>
      </c>
      <c r="L35" s="8" t="s">
        <v>30</v>
      </c>
    </row>
    <row r="36" spans="1:12">
      <c r="A36" s="2">
        <v>46047</v>
      </c>
      <c r="B36" t="s">
        <v>20</v>
      </c>
      <c r="C36" s="3">
        <v>46047.708333333336</v>
      </c>
      <c r="D36" s="3">
        <v>46047.958333333336</v>
      </c>
      <c r="E36" s="4">
        <v>6</v>
      </c>
      <c r="F36" s="5">
        <v>65.27</v>
      </c>
      <c r="G36" s="6">
        <v>26.2</v>
      </c>
      <c r="H36" s="7">
        <v>10</v>
      </c>
      <c r="I36" s="5">
        <f t="shared" si="1"/>
        <v>2.4912213740458014</v>
      </c>
      <c r="J36" t="s">
        <v>28</v>
      </c>
      <c r="K36" t="s">
        <v>22</v>
      </c>
      <c r="L36" s="8" t="s">
        <v>30</v>
      </c>
    </row>
    <row r="37" spans="1:12">
      <c r="A37" s="2">
        <v>46052</v>
      </c>
      <c r="B37" t="s">
        <v>11</v>
      </c>
      <c r="C37" s="3">
        <v>46052.6875</v>
      </c>
      <c r="D37" s="3">
        <v>46052.90625</v>
      </c>
      <c r="E37" s="4">
        <v>5.25</v>
      </c>
      <c r="F37" s="5">
        <v>69.89</v>
      </c>
      <c r="G37" s="6">
        <v>21</v>
      </c>
      <c r="H37" s="7">
        <v>10</v>
      </c>
      <c r="I37" s="5">
        <f t="shared" si="1"/>
        <v>3.328095238095238</v>
      </c>
      <c r="J37" t="s">
        <v>16</v>
      </c>
      <c r="K37" t="s">
        <v>13</v>
      </c>
      <c r="L37" s="8" t="s">
        <v>33</v>
      </c>
    </row>
    <row r="38" spans="1:12">
      <c r="A38" s="2">
        <v>46053</v>
      </c>
      <c r="B38" t="s">
        <v>18</v>
      </c>
      <c r="C38" s="3">
        <v>46053.708333333336</v>
      </c>
      <c r="D38" s="3">
        <v>46053.90625</v>
      </c>
      <c r="E38" s="4">
        <v>4.75</v>
      </c>
      <c r="F38" s="5">
        <v>60.98</v>
      </c>
      <c r="G38" s="6">
        <v>20.399999999999999</v>
      </c>
      <c r="H38" s="7">
        <v>9</v>
      </c>
      <c r="I38" s="5">
        <f t="shared" si="1"/>
        <v>2.9892156862745098</v>
      </c>
      <c r="J38" t="s">
        <v>16</v>
      </c>
      <c r="K38" t="s">
        <v>13</v>
      </c>
      <c r="L38" s="8" t="s">
        <v>31</v>
      </c>
    </row>
    <row r="39" spans="1:12">
      <c r="A39" s="2">
        <v>46059</v>
      </c>
      <c r="B39" t="s">
        <v>11</v>
      </c>
      <c r="C39" s="3">
        <v>46059.6875</v>
      </c>
      <c r="D39" s="3">
        <v>46059.916666666664</v>
      </c>
      <c r="E39" s="4">
        <v>5.5</v>
      </c>
      <c r="F39" s="5">
        <v>60.14</v>
      </c>
      <c r="G39" s="6">
        <v>17.2</v>
      </c>
      <c r="H39" s="7">
        <v>8</v>
      </c>
      <c r="I39" s="5">
        <f t="shared" si="1"/>
        <v>3.496511627906977</v>
      </c>
      <c r="J39" t="s">
        <v>28</v>
      </c>
      <c r="K39" t="s">
        <v>13</v>
      </c>
      <c r="L39" s="8" t="s">
        <v>34</v>
      </c>
    </row>
    <row r="40" spans="1:12" ht="27.6">
      <c r="A40" s="2">
        <v>46060</v>
      </c>
      <c r="B40" t="s">
        <v>20</v>
      </c>
      <c r="C40" s="3">
        <v>46060.729166666664</v>
      </c>
      <c r="D40" s="3">
        <v>46060.96875</v>
      </c>
      <c r="E40" s="4">
        <v>5.75</v>
      </c>
      <c r="F40" s="5">
        <v>75.569999999999993</v>
      </c>
      <c r="G40" s="6">
        <v>27.6</v>
      </c>
      <c r="H40" s="7">
        <v>9</v>
      </c>
      <c r="I40" s="5">
        <f t="shared" si="1"/>
        <v>2.7380434782608694</v>
      </c>
      <c r="J40" t="s">
        <v>26</v>
      </c>
      <c r="K40" t="s">
        <v>22</v>
      </c>
      <c r="L40" s="8" t="s">
        <v>32</v>
      </c>
    </row>
    <row r="41" spans="1:12">
      <c r="A41" s="2">
        <v>46061</v>
      </c>
      <c r="B41" t="s">
        <v>18</v>
      </c>
      <c r="C41" s="3">
        <v>46061.75</v>
      </c>
      <c r="D41" s="3">
        <v>46061.947916666664</v>
      </c>
      <c r="E41" s="4">
        <v>4.75</v>
      </c>
      <c r="F41" s="5">
        <v>69.27</v>
      </c>
      <c r="G41" s="6">
        <v>24.2</v>
      </c>
      <c r="H41" s="7">
        <v>9</v>
      </c>
      <c r="I41" s="5">
        <f t="shared" si="1"/>
        <v>2.8623966942148757</v>
      </c>
      <c r="J41" t="s">
        <v>12</v>
      </c>
      <c r="K41" t="s">
        <v>13</v>
      </c>
      <c r="L41" s="8" t="s">
        <v>34</v>
      </c>
    </row>
    <row r="42" spans="1:12">
      <c r="A42" s="2">
        <v>46062</v>
      </c>
      <c r="B42" t="s">
        <v>20</v>
      </c>
      <c r="C42" s="3">
        <v>46062.729166666664</v>
      </c>
      <c r="D42" s="3">
        <v>46062.947916666664</v>
      </c>
      <c r="E42" s="4">
        <v>5.25</v>
      </c>
      <c r="F42" s="5">
        <v>81.11</v>
      </c>
      <c r="G42" s="6">
        <v>27.2</v>
      </c>
      <c r="H42" s="7">
        <v>9</v>
      </c>
      <c r="I42" s="5">
        <f t="shared" si="1"/>
        <v>2.981985294117647</v>
      </c>
      <c r="J42" t="s">
        <v>16</v>
      </c>
      <c r="K42" t="s">
        <v>22</v>
      </c>
      <c r="L42" s="8" t="s">
        <v>33</v>
      </c>
    </row>
    <row r="43" spans="1:12">
      <c r="A43" s="2">
        <v>46064</v>
      </c>
      <c r="B43" t="s">
        <v>15</v>
      </c>
      <c r="C43" s="3">
        <v>46064.46875</v>
      </c>
      <c r="D43" s="3">
        <v>46064.729166666664</v>
      </c>
      <c r="E43" s="4">
        <v>6.25</v>
      </c>
      <c r="F43" s="5">
        <v>54.62</v>
      </c>
      <c r="G43" s="6">
        <v>23.8</v>
      </c>
      <c r="H43" s="7">
        <v>8</v>
      </c>
      <c r="I43" s="5">
        <f t="shared" si="1"/>
        <v>2.2949579831932772</v>
      </c>
      <c r="J43" t="s">
        <v>16</v>
      </c>
      <c r="K43" t="s">
        <v>13</v>
      </c>
      <c r="L43" s="8" t="s">
        <v>29</v>
      </c>
    </row>
    <row r="44" spans="1:12" ht="27.6">
      <c r="A44" s="2">
        <v>46066</v>
      </c>
      <c r="B44" t="s">
        <v>20</v>
      </c>
      <c r="C44" s="3">
        <v>46066.6875</v>
      </c>
      <c r="D44" s="3">
        <v>46066.927083333336</v>
      </c>
      <c r="E44" s="4">
        <v>5.75</v>
      </c>
      <c r="F44" s="5">
        <v>83.89</v>
      </c>
      <c r="G44" s="6">
        <v>34.700000000000003</v>
      </c>
      <c r="H44" s="7">
        <v>12</v>
      </c>
      <c r="I44" s="5">
        <f t="shared" si="1"/>
        <v>2.4175792507204608</v>
      </c>
      <c r="J44" t="s">
        <v>16</v>
      </c>
      <c r="K44" t="s">
        <v>22</v>
      </c>
      <c r="L44" s="8" t="s">
        <v>32</v>
      </c>
    </row>
    <row r="45" spans="1:12">
      <c r="A45" s="2">
        <v>46068</v>
      </c>
      <c r="B45" t="s">
        <v>18</v>
      </c>
      <c r="C45" s="3">
        <v>46068.708333333336</v>
      </c>
      <c r="D45" s="3">
        <v>46068.9375</v>
      </c>
      <c r="E45" s="4">
        <v>5.5</v>
      </c>
      <c r="F45" s="5">
        <v>54.79</v>
      </c>
      <c r="G45" s="6">
        <v>26.8</v>
      </c>
      <c r="H45" s="7">
        <v>7</v>
      </c>
      <c r="I45" s="5">
        <f t="shared" si="1"/>
        <v>2.0444029850746266</v>
      </c>
      <c r="J45" t="s">
        <v>26</v>
      </c>
      <c r="K45" t="s">
        <v>22</v>
      </c>
      <c r="L45" s="8" t="s">
        <v>29</v>
      </c>
    </row>
    <row r="46" spans="1:12">
      <c r="A46" s="2">
        <v>46073</v>
      </c>
      <c r="B46" t="s">
        <v>11</v>
      </c>
      <c r="C46" s="3">
        <v>46073.75</v>
      </c>
      <c r="D46" s="3">
        <v>46073.96875</v>
      </c>
      <c r="E46" s="4">
        <v>5.25</v>
      </c>
      <c r="F46" s="5">
        <v>78.959999999999994</v>
      </c>
      <c r="G46" s="6">
        <v>30</v>
      </c>
      <c r="H46" s="7">
        <v>11</v>
      </c>
      <c r="I46" s="5">
        <f t="shared" si="1"/>
        <v>2.6319999999999997</v>
      </c>
      <c r="J46" t="s">
        <v>16</v>
      </c>
      <c r="K46" t="s">
        <v>13</v>
      </c>
      <c r="L46" s="8" t="s">
        <v>30</v>
      </c>
    </row>
    <row r="47" spans="1:12" ht="27.6">
      <c r="A47" s="2">
        <v>46074</v>
      </c>
      <c r="B47" t="s">
        <v>11</v>
      </c>
      <c r="C47" s="3">
        <v>46074.6875</v>
      </c>
      <c r="D47" s="3">
        <v>46074.864583333336</v>
      </c>
      <c r="E47" s="4">
        <v>4.25</v>
      </c>
      <c r="F47" s="5">
        <v>53.39</v>
      </c>
      <c r="G47" s="6">
        <v>20.3</v>
      </c>
      <c r="H47" s="7">
        <v>7</v>
      </c>
      <c r="I47" s="5">
        <f t="shared" si="1"/>
        <v>2.6300492610837436</v>
      </c>
      <c r="J47" t="s">
        <v>28</v>
      </c>
      <c r="K47" t="s">
        <v>22</v>
      </c>
      <c r="L47" s="8" t="s">
        <v>32</v>
      </c>
    </row>
    <row r="48" spans="1:12">
      <c r="A48" s="2">
        <v>46076</v>
      </c>
      <c r="B48" t="s">
        <v>15</v>
      </c>
      <c r="C48" s="3">
        <v>46076.458333333336</v>
      </c>
      <c r="D48" s="3">
        <v>46076.666666666664</v>
      </c>
      <c r="E48" s="4">
        <v>5</v>
      </c>
      <c r="F48" s="5">
        <v>58.59</v>
      </c>
      <c r="G48" s="6">
        <v>18.7</v>
      </c>
      <c r="H48" s="7">
        <v>8</v>
      </c>
      <c r="I48" s="5">
        <f t="shared" si="1"/>
        <v>3.1331550802139039</v>
      </c>
      <c r="J48" t="s">
        <v>28</v>
      </c>
      <c r="K48" t="s">
        <v>22</v>
      </c>
      <c r="L48" s="8" t="s">
        <v>30</v>
      </c>
    </row>
    <row r="49" spans="1:12">
      <c r="A49" s="2">
        <v>46080</v>
      </c>
      <c r="B49" t="s">
        <v>18</v>
      </c>
      <c r="C49" s="3">
        <v>46080.666666666664</v>
      </c>
      <c r="D49" s="3">
        <v>46080.895833333336</v>
      </c>
      <c r="E49" s="4">
        <v>5.5</v>
      </c>
      <c r="F49" s="5">
        <v>49.03</v>
      </c>
      <c r="G49" s="6">
        <v>21.2</v>
      </c>
      <c r="H49" s="7">
        <v>8</v>
      </c>
      <c r="I49" s="5">
        <f t="shared" si="1"/>
        <v>2.3127358490566041</v>
      </c>
      <c r="J49" t="s">
        <v>28</v>
      </c>
      <c r="K49" t="s">
        <v>13</v>
      </c>
      <c r="L49" s="8" t="s">
        <v>33</v>
      </c>
    </row>
    <row r="50" spans="1:12">
      <c r="A50" s="2">
        <v>46082</v>
      </c>
      <c r="B50" t="s">
        <v>18</v>
      </c>
      <c r="C50" s="3">
        <v>46082.75</v>
      </c>
      <c r="D50" s="3">
        <v>46082.989583333336</v>
      </c>
      <c r="E50" s="4">
        <v>5.75</v>
      </c>
      <c r="F50" s="5">
        <v>71.34</v>
      </c>
      <c r="G50" s="6">
        <v>26.1</v>
      </c>
      <c r="H50" s="7">
        <v>11</v>
      </c>
      <c r="I50" s="5">
        <f t="shared" si="1"/>
        <v>2.7333333333333334</v>
      </c>
      <c r="J50" t="s">
        <v>16</v>
      </c>
      <c r="K50" t="s">
        <v>13</v>
      </c>
      <c r="L50" s="8" t="s">
        <v>34</v>
      </c>
    </row>
    <row r="51" spans="1:12">
      <c r="A51" s="2">
        <v>46086</v>
      </c>
      <c r="B51" t="s">
        <v>15</v>
      </c>
      <c r="C51" s="3">
        <v>46086.447916666664</v>
      </c>
      <c r="D51" s="3">
        <v>46086.635416666664</v>
      </c>
      <c r="E51" s="4">
        <v>4.5</v>
      </c>
      <c r="F51" s="5">
        <v>60.07</v>
      </c>
      <c r="G51" s="6">
        <v>27.5</v>
      </c>
      <c r="H51" s="7">
        <v>9</v>
      </c>
      <c r="I51" s="5">
        <f t="shared" si="1"/>
        <v>2.1843636363636363</v>
      </c>
      <c r="J51" t="s">
        <v>12</v>
      </c>
      <c r="K51" t="s">
        <v>13</v>
      </c>
      <c r="L51" s="8" t="s">
        <v>29</v>
      </c>
    </row>
    <row r="52" spans="1:12" ht="27.6">
      <c r="A52" s="2">
        <v>46087</v>
      </c>
      <c r="B52" t="s">
        <v>20</v>
      </c>
      <c r="C52" s="3">
        <v>46087.708333333336</v>
      </c>
      <c r="D52" s="3">
        <v>46087.927083333336</v>
      </c>
      <c r="E52" s="4">
        <v>5.25</v>
      </c>
      <c r="F52" s="5">
        <v>70.239999999999995</v>
      </c>
      <c r="G52" s="6">
        <v>31</v>
      </c>
      <c r="H52" s="7">
        <v>11</v>
      </c>
      <c r="I52" s="5">
        <f t="shared" si="1"/>
        <v>2.2658064516129031</v>
      </c>
      <c r="J52" t="s">
        <v>21</v>
      </c>
      <c r="K52" t="s">
        <v>22</v>
      </c>
      <c r="L52" s="8" t="s">
        <v>32</v>
      </c>
    </row>
    <row r="53" spans="1:12">
      <c r="A53" s="2">
        <v>46088</v>
      </c>
      <c r="B53" t="s">
        <v>18</v>
      </c>
      <c r="C53" s="3">
        <v>46088.666666666664</v>
      </c>
      <c r="D53" s="3">
        <v>46088.854166666664</v>
      </c>
      <c r="E53" s="4">
        <v>4.5</v>
      </c>
      <c r="F53" s="5">
        <v>48.32</v>
      </c>
      <c r="G53" s="6">
        <v>22.3</v>
      </c>
      <c r="H53" s="7">
        <v>7</v>
      </c>
      <c r="I53" s="5">
        <f t="shared" si="1"/>
        <v>2.166816143497758</v>
      </c>
      <c r="J53" t="s">
        <v>28</v>
      </c>
      <c r="K53" t="s">
        <v>13</v>
      </c>
      <c r="L53" s="8" t="s">
        <v>34</v>
      </c>
    </row>
    <row r="54" spans="1:12">
      <c r="A54" s="2">
        <v>46089</v>
      </c>
      <c r="B54" t="s">
        <v>11</v>
      </c>
      <c r="C54" s="3">
        <v>46089.6875</v>
      </c>
      <c r="D54" s="3">
        <v>46089.90625</v>
      </c>
      <c r="E54" s="4">
        <v>5.25</v>
      </c>
      <c r="F54" s="5">
        <v>81.709999999999994</v>
      </c>
      <c r="G54" s="6">
        <v>29</v>
      </c>
      <c r="H54" s="7">
        <v>11</v>
      </c>
      <c r="I54" s="5">
        <f t="shared" si="1"/>
        <v>2.8175862068965514</v>
      </c>
      <c r="J54" t="s">
        <v>16</v>
      </c>
      <c r="K54" t="s">
        <v>13</v>
      </c>
      <c r="L54" s="8" t="s">
        <v>31</v>
      </c>
    </row>
    <row r="55" spans="1:12" ht="27.6">
      <c r="A55" s="2">
        <v>46092</v>
      </c>
      <c r="B55" t="s">
        <v>11</v>
      </c>
      <c r="C55" s="3">
        <v>46092.75</v>
      </c>
      <c r="D55" s="3">
        <v>46093</v>
      </c>
      <c r="E55" s="4">
        <v>6</v>
      </c>
      <c r="F55" s="5">
        <v>65.03</v>
      </c>
      <c r="G55" s="6">
        <v>21.2</v>
      </c>
      <c r="H55" s="7">
        <v>10</v>
      </c>
      <c r="I55" s="5">
        <f t="shared" si="1"/>
        <v>3.0674528301886794</v>
      </c>
      <c r="J55" t="s">
        <v>28</v>
      </c>
      <c r="K55" t="s">
        <v>13</v>
      </c>
      <c r="L55" s="8" t="s">
        <v>32</v>
      </c>
    </row>
    <row r="56" spans="1:12">
      <c r="A56" s="2">
        <v>46094</v>
      </c>
      <c r="B56" t="s">
        <v>18</v>
      </c>
      <c r="C56" s="3">
        <v>46094.729166666664</v>
      </c>
      <c r="D56" s="3">
        <v>46094.90625</v>
      </c>
      <c r="E56" s="4">
        <v>4.25</v>
      </c>
      <c r="F56" s="5">
        <v>72.47</v>
      </c>
      <c r="G56" s="6">
        <v>15.7</v>
      </c>
      <c r="H56" s="7">
        <v>9</v>
      </c>
      <c r="I56" s="5">
        <f t="shared" si="1"/>
        <v>4.6159235668789806</v>
      </c>
      <c r="J56" t="s">
        <v>28</v>
      </c>
      <c r="K56" t="s">
        <v>22</v>
      </c>
      <c r="L56" s="8" t="s">
        <v>35</v>
      </c>
    </row>
    <row r="57" spans="1:12" ht="27.6">
      <c r="A57" s="2">
        <v>46095</v>
      </c>
      <c r="B57" t="s">
        <v>20</v>
      </c>
      <c r="C57" s="3">
        <v>46095.708333333336</v>
      </c>
      <c r="D57" s="3">
        <v>46095.854166666664</v>
      </c>
      <c r="E57" s="4">
        <v>3.5</v>
      </c>
      <c r="F57" s="5">
        <v>51.83</v>
      </c>
      <c r="G57" s="6">
        <v>13.4</v>
      </c>
      <c r="H57" s="7">
        <v>7</v>
      </c>
      <c r="I57" s="5">
        <f t="shared" si="1"/>
        <v>3.8679104477611936</v>
      </c>
      <c r="J57" t="s">
        <v>28</v>
      </c>
      <c r="K57" t="s">
        <v>22</v>
      </c>
      <c r="L57" s="8" t="s">
        <v>36</v>
      </c>
    </row>
    <row r="58" spans="1:12">
      <c r="A58" s="2">
        <v>46096</v>
      </c>
      <c r="B58" t="s">
        <v>20</v>
      </c>
      <c r="C58" s="3">
        <v>46096.708333333336</v>
      </c>
      <c r="D58" s="3">
        <v>46096.90625</v>
      </c>
      <c r="E58" s="4">
        <v>4.75</v>
      </c>
      <c r="F58" s="5">
        <v>84.44</v>
      </c>
      <c r="G58" s="6">
        <v>20.100000000000001</v>
      </c>
      <c r="H58" s="7">
        <v>10</v>
      </c>
      <c r="I58" s="5">
        <f t="shared" si="1"/>
        <v>4.2009950248756214</v>
      </c>
      <c r="J58" t="s">
        <v>16</v>
      </c>
      <c r="K58" t="s">
        <v>22</v>
      </c>
      <c r="L58" s="8" t="s">
        <v>35</v>
      </c>
    </row>
    <row r="59" spans="1:12">
      <c r="A59" s="2">
        <v>46100</v>
      </c>
      <c r="B59" t="s">
        <v>11</v>
      </c>
      <c r="C59" s="3">
        <v>46100.6875</v>
      </c>
      <c r="D59" s="3">
        <v>46100.833333333336</v>
      </c>
      <c r="E59" s="4">
        <v>3.5</v>
      </c>
      <c r="F59" s="5">
        <v>55.45</v>
      </c>
      <c r="G59" s="6">
        <v>13.6</v>
      </c>
      <c r="H59" s="7">
        <v>7</v>
      </c>
      <c r="I59" s="5">
        <f t="shared" si="1"/>
        <v>4.0772058823529411</v>
      </c>
      <c r="J59" t="s">
        <v>28</v>
      </c>
      <c r="K59" t="s">
        <v>22</v>
      </c>
      <c r="L59" s="8" t="s">
        <v>37</v>
      </c>
    </row>
    <row r="60" spans="1:12" ht="27.6">
      <c r="A60" s="2">
        <v>46101</v>
      </c>
      <c r="B60" t="s">
        <v>11</v>
      </c>
      <c r="C60" s="3">
        <v>46101.666666666664</v>
      </c>
      <c r="D60" s="3">
        <v>46101.833333333336</v>
      </c>
      <c r="E60" s="4">
        <v>4</v>
      </c>
      <c r="F60" s="5">
        <v>79.94</v>
      </c>
      <c r="G60" s="6">
        <v>14.8</v>
      </c>
      <c r="H60" s="7">
        <v>9</v>
      </c>
      <c r="I60" s="5">
        <f t="shared" si="1"/>
        <v>5.4013513513513507</v>
      </c>
      <c r="J60" t="s">
        <v>21</v>
      </c>
      <c r="K60" t="s">
        <v>22</v>
      </c>
      <c r="L60" s="8" t="s">
        <v>36</v>
      </c>
    </row>
    <row r="61" spans="1:12">
      <c r="A61" s="2">
        <v>46102</v>
      </c>
      <c r="B61" t="s">
        <v>11</v>
      </c>
      <c r="C61" s="3">
        <v>46102.75</v>
      </c>
      <c r="D61" s="3">
        <v>46102.916666666664</v>
      </c>
      <c r="E61" s="4">
        <v>4</v>
      </c>
      <c r="F61" s="5">
        <v>74.349999999999994</v>
      </c>
      <c r="G61" s="6">
        <v>23</v>
      </c>
      <c r="H61" s="7">
        <v>9</v>
      </c>
      <c r="I61" s="5">
        <f t="shared" si="1"/>
        <v>3.2326086956521736</v>
      </c>
      <c r="J61" t="s">
        <v>12</v>
      </c>
      <c r="K61" t="s">
        <v>13</v>
      </c>
      <c r="L61" s="8" t="s">
        <v>38</v>
      </c>
    </row>
    <row r="62" spans="1:12">
      <c r="A62" s="2">
        <v>46103</v>
      </c>
      <c r="B62" t="s">
        <v>18</v>
      </c>
      <c r="C62" s="3">
        <v>46103.729166666664</v>
      </c>
      <c r="D62" s="3">
        <v>46103.864583333336</v>
      </c>
      <c r="E62" s="4">
        <v>3.25</v>
      </c>
      <c r="F62" s="5">
        <v>58.46</v>
      </c>
      <c r="G62" s="6">
        <v>18.2</v>
      </c>
      <c r="H62" s="7">
        <v>7</v>
      </c>
      <c r="I62" s="5">
        <f t="shared" si="1"/>
        <v>3.2120879120879122</v>
      </c>
      <c r="J62" t="s">
        <v>16</v>
      </c>
      <c r="K62" t="s">
        <v>22</v>
      </c>
      <c r="L62" s="8" t="s">
        <v>39</v>
      </c>
    </row>
    <row r="63" spans="1:12">
      <c r="A63" s="2">
        <v>46107</v>
      </c>
      <c r="B63" t="s">
        <v>20</v>
      </c>
      <c r="C63" s="3">
        <v>46107.666666666664</v>
      </c>
      <c r="D63" s="3">
        <v>46107.791666666664</v>
      </c>
      <c r="E63" s="4">
        <v>3</v>
      </c>
      <c r="F63" s="5">
        <v>42.95</v>
      </c>
      <c r="G63" s="6">
        <v>12.9</v>
      </c>
      <c r="H63" s="7">
        <v>5</v>
      </c>
      <c r="I63" s="5">
        <f t="shared" si="1"/>
        <v>3.3294573643410854</v>
      </c>
      <c r="J63" t="s">
        <v>12</v>
      </c>
      <c r="K63" t="s">
        <v>22</v>
      </c>
      <c r="L63" s="8" t="s">
        <v>35</v>
      </c>
    </row>
    <row r="64" spans="1:12">
      <c r="A64" s="2">
        <v>46108</v>
      </c>
      <c r="B64" t="s">
        <v>18</v>
      </c>
      <c r="C64" s="3">
        <v>46108.75</v>
      </c>
      <c r="D64" s="3">
        <v>46108.947916666664</v>
      </c>
      <c r="E64" s="4">
        <v>4.75</v>
      </c>
      <c r="F64" s="5">
        <v>67.78</v>
      </c>
      <c r="G64" s="6">
        <v>15.3</v>
      </c>
      <c r="H64" s="7">
        <v>9</v>
      </c>
      <c r="I64" s="5">
        <f t="shared" si="1"/>
        <v>4.4300653594771244</v>
      </c>
      <c r="J64" t="s">
        <v>16</v>
      </c>
      <c r="K64" t="s">
        <v>13</v>
      </c>
      <c r="L64" s="8" t="s">
        <v>38</v>
      </c>
    </row>
    <row r="65" spans="1:12">
      <c r="A65" s="2">
        <v>46109</v>
      </c>
      <c r="B65" t="s">
        <v>18</v>
      </c>
      <c r="C65" s="3">
        <v>46109.6875</v>
      </c>
      <c r="D65" s="3">
        <v>46109.885416666664</v>
      </c>
      <c r="E65" s="4">
        <v>4.75</v>
      </c>
      <c r="F65" s="5">
        <v>84.8</v>
      </c>
      <c r="G65" s="6">
        <v>22.4</v>
      </c>
      <c r="H65" s="7">
        <v>10</v>
      </c>
      <c r="I65" s="5">
        <f t="shared" si="1"/>
        <v>3.785714285714286</v>
      </c>
      <c r="J65" t="s">
        <v>28</v>
      </c>
      <c r="K65" t="s">
        <v>13</v>
      </c>
      <c r="L65" s="8" t="s">
        <v>38</v>
      </c>
    </row>
    <row r="66" spans="1:12">
      <c r="A66" s="2">
        <v>46110</v>
      </c>
      <c r="B66" t="s">
        <v>11</v>
      </c>
      <c r="C66" s="3">
        <v>46110.75</v>
      </c>
      <c r="D66" s="3">
        <v>46110.916666666664</v>
      </c>
      <c r="E66" s="4">
        <v>4</v>
      </c>
      <c r="F66" s="5">
        <v>68.92</v>
      </c>
      <c r="G66" s="6">
        <v>12.9</v>
      </c>
      <c r="H66" s="7">
        <v>8</v>
      </c>
      <c r="I66" s="5">
        <f t="shared" ref="I66:I97" si="2">IFERROR(F66/G66,0)</f>
        <v>5.3426356589147286</v>
      </c>
      <c r="J66" t="s">
        <v>28</v>
      </c>
      <c r="K66" t="s">
        <v>22</v>
      </c>
      <c r="L66" s="8" t="s">
        <v>37</v>
      </c>
    </row>
    <row r="67" spans="1:12">
      <c r="A67" s="2">
        <v>46117</v>
      </c>
      <c r="B67" t="s">
        <v>18</v>
      </c>
      <c r="C67" s="3">
        <v>46117.75</v>
      </c>
      <c r="D67" s="3">
        <v>46117.895833333336</v>
      </c>
      <c r="E67" s="4">
        <v>3.5</v>
      </c>
      <c r="F67" s="5">
        <v>62.56</v>
      </c>
      <c r="G67" s="6">
        <v>15.8</v>
      </c>
      <c r="H67" s="7">
        <v>8</v>
      </c>
      <c r="I67" s="5">
        <f t="shared" si="2"/>
        <v>3.9594936708860757</v>
      </c>
      <c r="J67" t="s">
        <v>12</v>
      </c>
      <c r="K67" t="s">
        <v>13</v>
      </c>
      <c r="L67" s="8" t="s">
        <v>37</v>
      </c>
    </row>
    <row r="68" spans="1:12">
      <c r="A68" s="2">
        <v>46121</v>
      </c>
      <c r="B68" t="s">
        <v>11</v>
      </c>
      <c r="C68" s="3">
        <v>46121.666666666664</v>
      </c>
      <c r="D68" s="3">
        <v>46121.8125</v>
      </c>
      <c r="E68" s="4">
        <v>3.5</v>
      </c>
      <c r="F68" s="5">
        <v>41.87</v>
      </c>
      <c r="G68" s="6">
        <v>12.9</v>
      </c>
      <c r="H68" s="7">
        <v>6</v>
      </c>
      <c r="I68" s="5">
        <f t="shared" si="2"/>
        <v>3.2457364341085269</v>
      </c>
      <c r="J68" t="s">
        <v>21</v>
      </c>
      <c r="K68" t="s">
        <v>13</v>
      </c>
      <c r="L68" s="8" t="s">
        <v>35</v>
      </c>
    </row>
    <row r="69" spans="1:12" ht="27.6">
      <c r="A69" s="2">
        <v>46123</v>
      </c>
      <c r="B69" t="s">
        <v>18</v>
      </c>
      <c r="C69" s="3">
        <v>46123.75</v>
      </c>
      <c r="D69" s="3">
        <v>46123.90625</v>
      </c>
      <c r="E69" s="4">
        <v>3.75</v>
      </c>
      <c r="F69" s="5">
        <v>58.55</v>
      </c>
      <c r="G69" s="6">
        <v>16.399999999999999</v>
      </c>
      <c r="H69" s="7">
        <v>8</v>
      </c>
      <c r="I69" s="5">
        <f t="shared" si="2"/>
        <v>3.5701219512195124</v>
      </c>
      <c r="J69" t="s">
        <v>16</v>
      </c>
      <c r="K69" t="s">
        <v>13</v>
      </c>
      <c r="L69" s="8" t="s">
        <v>36</v>
      </c>
    </row>
    <row r="70" spans="1:12" ht="27.6">
      <c r="A70" s="2">
        <v>46126</v>
      </c>
      <c r="B70" t="s">
        <v>40</v>
      </c>
      <c r="C70" s="3">
        <v>46126.708333333336</v>
      </c>
      <c r="D70" s="3">
        <v>46126.885416666664</v>
      </c>
      <c r="E70" s="4">
        <v>4.25</v>
      </c>
      <c r="F70" s="5">
        <v>59.95</v>
      </c>
      <c r="G70" s="6">
        <v>17.100000000000001</v>
      </c>
      <c r="H70" s="7">
        <v>8</v>
      </c>
      <c r="I70" s="5">
        <f t="shared" si="2"/>
        <v>3.505847953216374</v>
      </c>
      <c r="J70" t="s">
        <v>28</v>
      </c>
      <c r="K70" t="s">
        <v>13</v>
      </c>
      <c r="L70" s="8" t="s">
        <v>36</v>
      </c>
    </row>
    <row r="71" spans="1:12" ht="27.6">
      <c r="A71" s="2">
        <v>46127</v>
      </c>
      <c r="B71" t="s">
        <v>11</v>
      </c>
      <c r="C71" s="3">
        <v>46127.75</v>
      </c>
      <c r="D71" s="3">
        <v>46127.927083333336</v>
      </c>
      <c r="E71" s="4">
        <v>4.25</v>
      </c>
      <c r="F71" s="5">
        <v>63.86</v>
      </c>
      <c r="G71" s="6">
        <v>16.7</v>
      </c>
      <c r="H71" s="7">
        <v>9</v>
      </c>
      <c r="I71" s="5">
        <f t="shared" si="2"/>
        <v>3.8239520958083832</v>
      </c>
      <c r="J71" t="s">
        <v>28</v>
      </c>
      <c r="K71" t="s">
        <v>13</v>
      </c>
      <c r="L71" s="8" t="s">
        <v>36</v>
      </c>
    </row>
    <row r="72" spans="1:12">
      <c r="A72" s="2">
        <v>46129</v>
      </c>
      <c r="B72" t="s">
        <v>11</v>
      </c>
      <c r="C72" s="3">
        <v>46129.6875</v>
      </c>
      <c r="D72" s="3">
        <v>46129.895833333336</v>
      </c>
      <c r="E72" s="4">
        <v>5</v>
      </c>
      <c r="F72" s="5">
        <v>78.84</v>
      </c>
      <c r="G72" s="6">
        <v>27.5</v>
      </c>
      <c r="H72" s="7">
        <v>11</v>
      </c>
      <c r="I72" s="5">
        <f t="shared" si="2"/>
        <v>2.8669090909090911</v>
      </c>
      <c r="J72" t="s">
        <v>26</v>
      </c>
      <c r="K72" t="s">
        <v>13</v>
      </c>
      <c r="L72" s="8" t="s">
        <v>37</v>
      </c>
    </row>
    <row r="73" spans="1:12">
      <c r="A73" s="2">
        <v>46130</v>
      </c>
      <c r="B73" t="s">
        <v>18</v>
      </c>
      <c r="C73" s="3">
        <v>46130.666666666664</v>
      </c>
      <c r="D73" s="3">
        <v>46130.822916666664</v>
      </c>
      <c r="E73" s="4">
        <v>3.75</v>
      </c>
      <c r="F73" s="5">
        <v>67.739999999999995</v>
      </c>
      <c r="G73" s="6">
        <v>15.9</v>
      </c>
      <c r="H73" s="7">
        <v>8</v>
      </c>
      <c r="I73" s="5">
        <f t="shared" si="2"/>
        <v>4.2603773584905653</v>
      </c>
      <c r="J73" t="s">
        <v>16</v>
      </c>
      <c r="K73" t="s">
        <v>13</v>
      </c>
      <c r="L73" s="8" t="s">
        <v>38</v>
      </c>
    </row>
    <row r="74" spans="1:12">
      <c r="A74" s="2">
        <v>46131</v>
      </c>
      <c r="B74" t="s">
        <v>20</v>
      </c>
      <c r="C74" s="3">
        <v>46131.708333333336</v>
      </c>
      <c r="D74" s="3">
        <v>46131.90625</v>
      </c>
      <c r="E74" s="4">
        <v>4.75</v>
      </c>
      <c r="F74" s="5">
        <v>80.13</v>
      </c>
      <c r="G74" s="6">
        <v>25.9</v>
      </c>
      <c r="H74" s="7">
        <v>9</v>
      </c>
      <c r="I74" s="5">
        <f t="shared" si="2"/>
        <v>3.0938223938223937</v>
      </c>
      <c r="J74" t="s">
        <v>21</v>
      </c>
      <c r="K74" t="s">
        <v>22</v>
      </c>
      <c r="L74" s="8" t="s">
        <v>38</v>
      </c>
    </row>
    <row r="75" spans="1:12" ht="27.6">
      <c r="A75" s="2">
        <v>46132</v>
      </c>
      <c r="B75" t="s">
        <v>15</v>
      </c>
      <c r="C75" s="3">
        <v>46132.46875</v>
      </c>
      <c r="D75" s="3">
        <v>46132.65625</v>
      </c>
      <c r="E75" s="4">
        <v>4.5</v>
      </c>
      <c r="F75" s="5">
        <v>80.78</v>
      </c>
      <c r="G75" s="6">
        <v>17.899999999999999</v>
      </c>
      <c r="H75" s="7">
        <v>9</v>
      </c>
      <c r="I75" s="5">
        <f t="shared" si="2"/>
        <v>4.5128491620111735</v>
      </c>
      <c r="J75" t="s">
        <v>16</v>
      </c>
      <c r="K75" t="s">
        <v>13</v>
      </c>
      <c r="L75" s="8" t="s">
        <v>41</v>
      </c>
    </row>
    <row r="76" spans="1:12">
      <c r="A76" s="2">
        <v>46134</v>
      </c>
      <c r="B76" t="s">
        <v>15</v>
      </c>
      <c r="C76" s="3">
        <v>46134.46875</v>
      </c>
      <c r="D76" s="3">
        <v>46134.625</v>
      </c>
      <c r="E76" s="4">
        <v>3.75</v>
      </c>
      <c r="F76" s="5">
        <v>59.07</v>
      </c>
      <c r="G76" s="6">
        <v>12.3</v>
      </c>
      <c r="H76" s="7">
        <v>7</v>
      </c>
      <c r="I76" s="5">
        <f t="shared" si="2"/>
        <v>4.8024390243902433</v>
      </c>
      <c r="J76" t="s">
        <v>12</v>
      </c>
      <c r="K76" t="s">
        <v>13</v>
      </c>
      <c r="L76" s="8" t="s">
        <v>38</v>
      </c>
    </row>
    <row r="77" spans="1:12">
      <c r="A77" s="2">
        <v>46135</v>
      </c>
      <c r="B77" t="s">
        <v>40</v>
      </c>
      <c r="C77" s="3">
        <v>46135.708333333336</v>
      </c>
      <c r="D77" s="3">
        <v>46135.895833333336</v>
      </c>
      <c r="E77" s="4">
        <v>4.5</v>
      </c>
      <c r="F77" s="5">
        <v>53.3</v>
      </c>
      <c r="G77" s="6">
        <v>21.6</v>
      </c>
      <c r="H77" s="7">
        <v>8</v>
      </c>
      <c r="I77" s="5">
        <f t="shared" si="2"/>
        <v>2.4675925925925921</v>
      </c>
      <c r="J77" t="s">
        <v>16</v>
      </c>
      <c r="K77" t="s">
        <v>13</v>
      </c>
      <c r="L77" s="8" t="s">
        <v>39</v>
      </c>
    </row>
    <row r="78" spans="1:12" ht="27.6">
      <c r="A78" s="2">
        <v>46136</v>
      </c>
      <c r="B78" t="s">
        <v>18</v>
      </c>
      <c r="C78" s="3">
        <v>46136.666666666664</v>
      </c>
      <c r="D78" s="3">
        <v>46136.84375</v>
      </c>
      <c r="E78" s="4">
        <v>4.25</v>
      </c>
      <c r="F78" s="5">
        <v>60.94</v>
      </c>
      <c r="G78" s="6">
        <v>17</v>
      </c>
      <c r="H78" s="7">
        <v>8</v>
      </c>
      <c r="I78" s="5">
        <f t="shared" si="2"/>
        <v>3.584705882352941</v>
      </c>
      <c r="J78" t="s">
        <v>28</v>
      </c>
      <c r="K78" t="s">
        <v>13</v>
      </c>
      <c r="L78" s="8" t="s">
        <v>41</v>
      </c>
    </row>
    <row r="79" spans="1:12">
      <c r="A79" s="2">
        <v>46138</v>
      </c>
      <c r="B79" t="s">
        <v>18</v>
      </c>
      <c r="C79" s="3">
        <v>46138.75</v>
      </c>
      <c r="D79" s="3">
        <v>46138.927083333336</v>
      </c>
      <c r="E79" s="4">
        <v>4.25</v>
      </c>
      <c r="F79" s="5">
        <v>84.67</v>
      </c>
      <c r="G79" s="6">
        <v>15.1</v>
      </c>
      <c r="H79" s="7">
        <v>10</v>
      </c>
      <c r="I79" s="5">
        <f t="shared" si="2"/>
        <v>5.6072847682119207</v>
      </c>
      <c r="J79" t="s">
        <v>16</v>
      </c>
      <c r="K79" t="s">
        <v>13</v>
      </c>
      <c r="L79" s="8" t="s">
        <v>35</v>
      </c>
    </row>
    <row r="80" spans="1:12">
      <c r="A80" s="2">
        <v>46141</v>
      </c>
      <c r="B80" t="s">
        <v>15</v>
      </c>
      <c r="C80" s="3">
        <v>46141.458333333336</v>
      </c>
      <c r="D80" s="3">
        <v>46141.645833333336</v>
      </c>
      <c r="E80" s="4">
        <v>4.5</v>
      </c>
      <c r="F80" s="5">
        <v>62.14</v>
      </c>
      <c r="G80" s="6">
        <v>23.9</v>
      </c>
      <c r="H80" s="7">
        <v>9</v>
      </c>
      <c r="I80" s="5">
        <f t="shared" si="2"/>
        <v>2.6</v>
      </c>
      <c r="J80" t="s">
        <v>28</v>
      </c>
      <c r="K80" t="s">
        <v>22</v>
      </c>
      <c r="L80" s="8" t="s">
        <v>35</v>
      </c>
    </row>
    <row r="81" spans="1:12">
      <c r="A81" s="2">
        <v>46142</v>
      </c>
      <c r="B81" t="s">
        <v>11</v>
      </c>
      <c r="C81" s="3">
        <v>46142.75</v>
      </c>
      <c r="D81" s="3">
        <v>46142.96875</v>
      </c>
      <c r="E81" s="4">
        <v>5.25</v>
      </c>
      <c r="F81" s="5">
        <v>79.03</v>
      </c>
      <c r="G81" s="6">
        <v>13.7</v>
      </c>
      <c r="H81" s="7">
        <v>10</v>
      </c>
      <c r="I81" s="5">
        <f t="shared" si="2"/>
        <v>5.7686131386861321</v>
      </c>
      <c r="J81" t="s">
        <v>28</v>
      </c>
      <c r="K81" t="s">
        <v>13</v>
      </c>
      <c r="L81" s="8" t="s">
        <v>35</v>
      </c>
    </row>
    <row r="82" spans="1:12">
      <c r="A82" s="2">
        <v>46143</v>
      </c>
      <c r="B82" t="s">
        <v>11</v>
      </c>
      <c r="C82" s="3">
        <v>46143.666666666664</v>
      </c>
      <c r="D82" s="3">
        <v>46143.833333333336</v>
      </c>
      <c r="E82" s="4">
        <v>4</v>
      </c>
      <c r="F82" s="5">
        <v>57.61</v>
      </c>
      <c r="G82" s="6">
        <v>15.6</v>
      </c>
      <c r="H82" s="7">
        <v>8</v>
      </c>
      <c r="I82" s="5">
        <f t="shared" si="2"/>
        <v>3.6929487179487182</v>
      </c>
      <c r="J82" t="s">
        <v>16</v>
      </c>
      <c r="K82" t="s">
        <v>13</v>
      </c>
      <c r="L82" s="8" t="s">
        <v>38</v>
      </c>
    </row>
    <row r="83" spans="1:12" ht="27.6">
      <c r="A83" s="2">
        <v>46144</v>
      </c>
      <c r="B83" t="s">
        <v>18</v>
      </c>
      <c r="C83" s="3">
        <v>46144.6875</v>
      </c>
      <c r="D83" s="3">
        <v>46144.84375</v>
      </c>
      <c r="E83" s="4">
        <v>3.75</v>
      </c>
      <c r="F83" s="5">
        <v>59.67</v>
      </c>
      <c r="G83" s="6">
        <v>12.3</v>
      </c>
      <c r="H83" s="7">
        <v>8</v>
      </c>
      <c r="I83" s="5">
        <f t="shared" si="2"/>
        <v>4.8512195121951214</v>
      </c>
      <c r="J83" t="s">
        <v>16</v>
      </c>
      <c r="K83" t="s">
        <v>13</v>
      </c>
      <c r="L83" s="8" t="s">
        <v>41</v>
      </c>
    </row>
    <row r="84" spans="1:12">
      <c r="A84" s="2">
        <v>46145</v>
      </c>
      <c r="B84" t="s">
        <v>11</v>
      </c>
      <c r="C84" s="3">
        <v>46145.729166666664</v>
      </c>
      <c r="D84" s="3">
        <v>46145.875</v>
      </c>
      <c r="E84" s="4">
        <v>3.5</v>
      </c>
      <c r="F84" s="5">
        <v>64.709999999999994</v>
      </c>
      <c r="G84" s="6">
        <v>12.8</v>
      </c>
      <c r="H84" s="7">
        <v>7</v>
      </c>
      <c r="I84" s="5">
        <f t="shared" si="2"/>
        <v>5.0554687499999993</v>
      </c>
      <c r="J84" t="s">
        <v>12</v>
      </c>
      <c r="K84" t="s">
        <v>22</v>
      </c>
      <c r="L84" s="8" t="s">
        <v>35</v>
      </c>
    </row>
    <row r="85" spans="1:12">
      <c r="A85" s="2">
        <v>46148</v>
      </c>
      <c r="B85" t="s">
        <v>15</v>
      </c>
      <c r="C85" s="3">
        <v>46148.46875</v>
      </c>
      <c r="D85" s="3">
        <v>46148.614583333336</v>
      </c>
      <c r="E85" s="4">
        <v>3.5</v>
      </c>
      <c r="F85" s="5">
        <v>63.18</v>
      </c>
      <c r="G85" s="6">
        <v>13.8</v>
      </c>
      <c r="H85" s="7">
        <v>8</v>
      </c>
      <c r="I85" s="5">
        <f t="shared" si="2"/>
        <v>4.5782608695652174</v>
      </c>
      <c r="J85" t="s">
        <v>16</v>
      </c>
      <c r="K85" t="s">
        <v>13</v>
      </c>
      <c r="L85" s="8" t="s">
        <v>39</v>
      </c>
    </row>
    <row r="86" spans="1:12">
      <c r="A86" s="2">
        <v>46150</v>
      </c>
      <c r="B86" t="s">
        <v>18</v>
      </c>
      <c r="C86" s="3">
        <v>46150.666666666664</v>
      </c>
      <c r="D86" s="3">
        <v>46150.84375</v>
      </c>
      <c r="E86" s="4">
        <v>4.25</v>
      </c>
      <c r="F86" s="5">
        <v>80.13</v>
      </c>
      <c r="G86" s="6">
        <v>23.1</v>
      </c>
      <c r="H86" s="7">
        <v>10</v>
      </c>
      <c r="I86" s="5">
        <f t="shared" si="2"/>
        <v>3.4688311688311684</v>
      </c>
      <c r="J86" t="s">
        <v>12</v>
      </c>
      <c r="K86" t="s">
        <v>13</v>
      </c>
      <c r="L86" s="8" t="s">
        <v>35</v>
      </c>
    </row>
    <row r="87" spans="1:12">
      <c r="A87" s="2">
        <v>46151</v>
      </c>
      <c r="B87" t="s">
        <v>18</v>
      </c>
      <c r="C87" s="3">
        <v>46151.6875</v>
      </c>
      <c r="D87" s="3">
        <v>46151.875</v>
      </c>
      <c r="E87" s="4">
        <v>4.5</v>
      </c>
      <c r="F87" s="5">
        <v>86.23</v>
      </c>
      <c r="G87" s="6">
        <v>16.8</v>
      </c>
      <c r="H87" s="7">
        <v>10</v>
      </c>
      <c r="I87" s="5">
        <f t="shared" si="2"/>
        <v>5.1327380952380954</v>
      </c>
      <c r="J87" t="s">
        <v>12</v>
      </c>
      <c r="K87" t="s">
        <v>13</v>
      </c>
      <c r="L87" s="8" t="s">
        <v>35</v>
      </c>
    </row>
    <row r="88" spans="1:12">
      <c r="A88" s="2">
        <v>46156</v>
      </c>
      <c r="B88" t="s">
        <v>40</v>
      </c>
      <c r="C88" s="3">
        <v>46156.666666666664</v>
      </c>
      <c r="D88" s="3">
        <v>46156.864583333336</v>
      </c>
      <c r="E88" s="4">
        <v>4.75</v>
      </c>
      <c r="F88" s="5">
        <v>65.739999999999995</v>
      </c>
      <c r="G88" s="6">
        <v>22</v>
      </c>
      <c r="H88" s="7">
        <v>10</v>
      </c>
      <c r="I88" s="5">
        <f t="shared" si="2"/>
        <v>2.9881818181818178</v>
      </c>
      <c r="J88" t="s">
        <v>16</v>
      </c>
      <c r="K88" t="s">
        <v>13</v>
      </c>
      <c r="L88" s="8" t="s">
        <v>35</v>
      </c>
    </row>
    <row r="89" spans="1:12">
      <c r="A89" s="2">
        <v>46157</v>
      </c>
      <c r="B89" t="s">
        <v>11</v>
      </c>
      <c r="C89" s="3">
        <v>46157.75</v>
      </c>
      <c r="D89" s="3">
        <v>46157.958333333336</v>
      </c>
      <c r="E89" s="4">
        <v>5</v>
      </c>
      <c r="F89" s="5">
        <v>91.43</v>
      </c>
      <c r="G89" s="6">
        <v>18.8</v>
      </c>
      <c r="H89" s="7">
        <v>12</v>
      </c>
      <c r="I89" s="5">
        <f t="shared" si="2"/>
        <v>4.8632978723404259</v>
      </c>
      <c r="J89" t="s">
        <v>21</v>
      </c>
      <c r="K89" t="s">
        <v>13</v>
      </c>
      <c r="L89" s="8" t="s">
        <v>39</v>
      </c>
    </row>
    <row r="90" spans="1:12" ht="27.6">
      <c r="A90" s="2">
        <v>46163</v>
      </c>
      <c r="B90" t="s">
        <v>20</v>
      </c>
      <c r="C90" s="3">
        <v>46163.729166666664</v>
      </c>
      <c r="D90" s="3">
        <v>46163.895833333336</v>
      </c>
      <c r="E90" s="4">
        <v>4</v>
      </c>
      <c r="F90" s="5">
        <v>85.35</v>
      </c>
      <c r="G90" s="6">
        <v>14.1</v>
      </c>
      <c r="H90" s="7">
        <v>9</v>
      </c>
      <c r="I90" s="5">
        <f t="shared" si="2"/>
        <v>6.0531914893617023</v>
      </c>
      <c r="J90" t="s">
        <v>21</v>
      </c>
      <c r="K90" t="s">
        <v>22</v>
      </c>
      <c r="L90" s="8" t="s">
        <v>42</v>
      </c>
    </row>
    <row r="91" spans="1:12" ht="27.6">
      <c r="A91" s="2">
        <v>46164</v>
      </c>
      <c r="B91" t="s">
        <v>40</v>
      </c>
      <c r="C91" s="3">
        <v>46164.6875</v>
      </c>
      <c r="D91" s="3">
        <v>46164.833333333336</v>
      </c>
      <c r="E91" s="4">
        <v>3.5</v>
      </c>
      <c r="F91" s="5">
        <v>69.2</v>
      </c>
      <c r="G91" s="6">
        <v>16.7</v>
      </c>
      <c r="H91" s="7">
        <v>8</v>
      </c>
      <c r="I91" s="5">
        <f t="shared" si="2"/>
        <v>4.1437125748502996</v>
      </c>
      <c r="J91" t="s">
        <v>16</v>
      </c>
      <c r="K91" t="s">
        <v>13</v>
      </c>
      <c r="L91" s="8" t="s">
        <v>43</v>
      </c>
    </row>
    <row r="92" spans="1:12" ht="27.6">
      <c r="A92" s="2">
        <v>46166</v>
      </c>
      <c r="B92" t="s">
        <v>20</v>
      </c>
      <c r="C92" s="3">
        <v>46166.729166666664</v>
      </c>
      <c r="D92" s="3">
        <v>46166.885416666664</v>
      </c>
      <c r="E92" s="4">
        <v>3.75</v>
      </c>
      <c r="F92" s="5">
        <v>85.23</v>
      </c>
      <c r="G92" s="6">
        <v>11.3</v>
      </c>
      <c r="H92" s="7">
        <v>10</v>
      </c>
      <c r="I92" s="5">
        <f t="shared" si="2"/>
        <v>7.5424778761061946</v>
      </c>
      <c r="J92" t="s">
        <v>21</v>
      </c>
      <c r="K92" t="s">
        <v>22</v>
      </c>
      <c r="L92" s="8" t="s">
        <v>44</v>
      </c>
    </row>
    <row r="93" spans="1:12" ht="27.6">
      <c r="A93" s="2">
        <v>46168</v>
      </c>
      <c r="B93" t="s">
        <v>11</v>
      </c>
      <c r="C93" s="3">
        <v>46168.729166666664</v>
      </c>
      <c r="D93" s="3">
        <v>46168.895833333336</v>
      </c>
      <c r="E93" s="4">
        <v>4</v>
      </c>
      <c r="F93" s="5">
        <v>73.05</v>
      </c>
      <c r="G93" s="6">
        <v>15.5</v>
      </c>
      <c r="H93" s="7">
        <v>9</v>
      </c>
      <c r="I93" s="5">
        <f t="shared" si="2"/>
        <v>4.7129032258064516</v>
      </c>
      <c r="J93" t="s">
        <v>16</v>
      </c>
      <c r="K93" t="s">
        <v>22</v>
      </c>
      <c r="L93" s="8" t="s">
        <v>45</v>
      </c>
    </row>
    <row r="94" spans="1:12" ht="27.6">
      <c r="A94" s="2">
        <v>46170</v>
      </c>
      <c r="B94" t="s">
        <v>15</v>
      </c>
      <c r="C94" s="3">
        <v>46170.479166666664</v>
      </c>
      <c r="D94" s="3">
        <v>46170.614583333336</v>
      </c>
      <c r="E94" s="4">
        <v>3.25</v>
      </c>
      <c r="F94" s="5">
        <v>69.63</v>
      </c>
      <c r="G94" s="6">
        <v>12.5</v>
      </c>
      <c r="H94" s="7">
        <v>7</v>
      </c>
      <c r="I94" s="5">
        <f t="shared" si="2"/>
        <v>5.5703999999999994</v>
      </c>
      <c r="J94" t="s">
        <v>16</v>
      </c>
      <c r="K94" t="s">
        <v>13</v>
      </c>
      <c r="L94" s="8" t="s">
        <v>43</v>
      </c>
    </row>
    <row r="95" spans="1:12" ht="27.6">
      <c r="A95" s="2">
        <v>46172</v>
      </c>
      <c r="B95" t="s">
        <v>20</v>
      </c>
      <c r="C95" s="3">
        <v>46172.708333333336</v>
      </c>
      <c r="D95" s="3">
        <v>46172.84375</v>
      </c>
      <c r="E95" s="4">
        <v>3.25</v>
      </c>
      <c r="F95" s="5">
        <v>59.36</v>
      </c>
      <c r="G95" s="6">
        <v>12.2</v>
      </c>
      <c r="H95" s="7">
        <v>6</v>
      </c>
      <c r="I95" s="5">
        <f t="shared" si="2"/>
        <v>4.8655737704918032</v>
      </c>
      <c r="J95" t="s">
        <v>28</v>
      </c>
      <c r="K95" t="s">
        <v>22</v>
      </c>
      <c r="L95" s="8" t="s">
        <v>46</v>
      </c>
    </row>
    <row r="96" spans="1:12" ht="27.6">
      <c r="A96" s="2">
        <v>46173</v>
      </c>
      <c r="B96" t="s">
        <v>18</v>
      </c>
      <c r="C96" s="3">
        <v>46173.666666666664</v>
      </c>
      <c r="D96" s="3">
        <v>46173.78125</v>
      </c>
      <c r="E96" s="4">
        <v>2.75</v>
      </c>
      <c r="F96" s="5">
        <v>51.33</v>
      </c>
      <c r="G96" s="6">
        <v>14.1</v>
      </c>
      <c r="H96" s="7">
        <v>5</v>
      </c>
      <c r="I96" s="5">
        <f t="shared" si="2"/>
        <v>3.6404255319148935</v>
      </c>
      <c r="J96" t="s">
        <v>26</v>
      </c>
      <c r="K96" t="s">
        <v>22</v>
      </c>
      <c r="L96" s="8" t="s">
        <v>44</v>
      </c>
    </row>
    <row r="97" spans="1:12" ht="27.6">
      <c r="A97" s="2">
        <v>46176</v>
      </c>
      <c r="B97" t="s">
        <v>20</v>
      </c>
      <c r="C97" s="3">
        <v>46176.6875</v>
      </c>
      <c r="D97" s="3">
        <v>46176.84375</v>
      </c>
      <c r="E97" s="4">
        <v>3.75</v>
      </c>
      <c r="F97" s="5">
        <v>75.55</v>
      </c>
      <c r="G97" s="6">
        <v>11.5</v>
      </c>
      <c r="H97" s="7">
        <v>8</v>
      </c>
      <c r="I97" s="5">
        <f t="shared" si="2"/>
        <v>6.5695652173913039</v>
      </c>
      <c r="J97" t="s">
        <v>28</v>
      </c>
      <c r="K97" t="s">
        <v>22</v>
      </c>
      <c r="L97" s="8" t="s">
        <v>42</v>
      </c>
    </row>
    <row r="98" spans="1:12" ht="27.6">
      <c r="A98" s="2">
        <v>46180</v>
      </c>
      <c r="B98" t="s">
        <v>11</v>
      </c>
      <c r="C98" s="3">
        <v>46180.6875</v>
      </c>
      <c r="D98" s="3">
        <v>46180.822916666664</v>
      </c>
      <c r="E98" s="4">
        <v>3.25</v>
      </c>
      <c r="F98" s="5">
        <v>63.42</v>
      </c>
      <c r="G98" s="6">
        <v>8</v>
      </c>
      <c r="H98" s="7">
        <v>6</v>
      </c>
      <c r="I98" s="5">
        <f t="shared" ref="I98:I119" si="3">IFERROR(F98/G98,0)</f>
        <v>7.9275000000000002</v>
      </c>
      <c r="J98" t="s">
        <v>16</v>
      </c>
      <c r="K98" t="s">
        <v>13</v>
      </c>
      <c r="L98" s="8" t="s">
        <v>45</v>
      </c>
    </row>
    <row r="99" spans="1:12" ht="27.6">
      <c r="A99" s="2">
        <v>46183</v>
      </c>
      <c r="B99" t="s">
        <v>40</v>
      </c>
      <c r="C99" s="3">
        <v>46183.6875</v>
      </c>
      <c r="D99" s="3">
        <v>46183.802083333336</v>
      </c>
      <c r="E99" s="4">
        <v>2.75</v>
      </c>
      <c r="F99" s="5">
        <v>53.76</v>
      </c>
      <c r="G99" s="6">
        <v>8</v>
      </c>
      <c r="H99" s="7">
        <v>6</v>
      </c>
      <c r="I99" s="5">
        <f t="shared" si="3"/>
        <v>6.72</v>
      </c>
      <c r="J99" t="s">
        <v>21</v>
      </c>
      <c r="K99" t="s">
        <v>13</v>
      </c>
      <c r="L99" s="8" t="s">
        <v>44</v>
      </c>
    </row>
    <row r="100" spans="1:12" ht="27.6">
      <c r="A100" s="2">
        <v>46185</v>
      </c>
      <c r="B100" t="s">
        <v>20</v>
      </c>
      <c r="C100" s="3">
        <v>46185.729166666664</v>
      </c>
      <c r="D100" s="3">
        <v>46185.875</v>
      </c>
      <c r="E100" s="4">
        <v>3.5</v>
      </c>
      <c r="F100" s="5">
        <v>62.3</v>
      </c>
      <c r="G100" s="6">
        <v>19.899999999999999</v>
      </c>
      <c r="H100" s="7">
        <v>7</v>
      </c>
      <c r="I100" s="5">
        <f t="shared" si="3"/>
        <v>3.1306532663316582</v>
      </c>
      <c r="J100" t="s">
        <v>26</v>
      </c>
      <c r="K100" t="s">
        <v>22</v>
      </c>
      <c r="L100" s="8" t="s">
        <v>47</v>
      </c>
    </row>
    <row r="101" spans="1:12" ht="27.6">
      <c r="A101" s="2">
        <v>46187</v>
      </c>
      <c r="B101" t="s">
        <v>18</v>
      </c>
      <c r="C101" s="3">
        <v>46187.6875</v>
      </c>
      <c r="D101" s="3">
        <v>46187.854166666664</v>
      </c>
      <c r="E101" s="4">
        <v>4</v>
      </c>
      <c r="F101" s="5">
        <v>76.13</v>
      </c>
      <c r="G101" s="6">
        <v>13.2</v>
      </c>
      <c r="H101" s="7">
        <v>7</v>
      </c>
      <c r="I101" s="5">
        <f t="shared" si="3"/>
        <v>5.7674242424242426</v>
      </c>
      <c r="J101" t="s">
        <v>28</v>
      </c>
      <c r="K101" t="s">
        <v>13</v>
      </c>
      <c r="L101" s="8" t="s">
        <v>47</v>
      </c>
    </row>
    <row r="102" spans="1:12" ht="27.6">
      <c r="A102" s="2">
        <v>46189</v>
      </c>
      <c r="B102" t="s">
        <v>40</v>
      </c>
      <c r="C102" s="3">
        <v>46189.666666666664</v>
      </c>
      <c r="D102" s="3">
        <v>46189.864583333336</v>
      </c>
      <c r="E102" s="4">
        <v>4.75</v>
      </c>
      <c r="F102" s="5">
        <v>86.36</v>
      </c>
      <c r="G102" s="6">
        <v>18.399999999999999</v>
      </c>
      <c r="H102" s="7">
        <v>9</v>
      </c>
      <c r="I102" s="5">
        <f t="shared" si="3"/>
        <v>4.6934782608695658</v>
      </c>
      <c r="J102" t="s">
        <v>12</v>
      </c>
      <c r="K102" t="s">
        <v>13</v>
      </c>
      <c r="L102" s="8" t="s">
        <v>46</v>
      </c>
    </row>
    <row r="103" spans="1:12" ht="27.6">
      <c r="A103" s="2">
        <v>46192</v>
      </c>
      <c r="B103" t="s">
        <v>18</v>
      </c>
      <c r="C103" s="3">
        <v>46192.6875</v>
      </c>
      <c r="D103" s="3">
        <v>46192.864583333336</v>
      </c>
      <c r="E103" s="4">
        <v>4.25</v>
      </c>
      <c r="F103" s="5">
        <v>93.5</v>
      </c>
      <c r="G103" s="6">
        <v>16.3</v>
      </c>
      <c r="H103" s="7">
        <v>9</v>
      </c>
      <c r="I103" s="5">
        <f t="shared" si="3"/>
        <v>5.7361963190184051</v>
      </c>
      <c r="J103" t="s">
        <v>16</v>
      </c>
      <c r="K103" t="s">
        <v>22</v>
      </c>
      <c r="L103" s="8" t="s">
        <v>45</v>
      </c>
    </row>
    <row r="104" spans="1:12" ht="27.6">
      <c r="A104" s="2">
        <v>46193</v>
      </c>
      <c r="B104" t="s">
        <v>11</v>
      </c>
      <c r="C104" s="3">
        <v>46193.708333333336</v>
      </c>
      <c r="D104" s="3">
        <v>46193.84375</v>
      </c>
      <c r="E104" s="4">
        <v>3.25</v>
      </c>
      <c r="F104" s="5">
        <v>68.41</v>
      </c>
      <c r="G104" s="6">
        <v>8</v>
      </c>
      <c r="H104" s="7">
        <v>7</v>
      </c>
      <c r="I104" s="5">
        <f t="shared" si="3"/>
        <v>8.5512499999999996</v>
      </c>
      <c r="J104" t="s">
        <v>16</v>
      </c>
      <c r="K104" t="s">
        <v>13</v>
      </c>
      <c r="L104" s="8" t="s">
        <v>45</v>
      </c>
    </row>
    <row r="105" spans="1:12" ht="27.6">
      <c r="A105" s="2">
        <v>46194</v>
      </c>
      <c r="B105" t="s">
        <v>18</v>
      </c>
      <c r="C105" s="3">
        <v>46194.75</v>
      </c>
      <c r="D105" s="3">
        <v>46194.9375</v>
      </c>
      <c r="E105" s="4">
        <v>4.5</v>
      </c>
      <c r="F105" s="5">
        <v>90.49</v>
      </c>
      <c r="G105" s="6">
        <v>11</v>
      </c>
      <c r="H105" s="7">
        <v>9</v>
      </c>
      <c r="I105" s="5">
        <f t="shared" si="3"/>
        <v>8.2263636363636365</v>
      </c>
      <c r="J105" t="s">
        <v>16</v>
      </c>
      <c r="K105" t="s">
        <v>22</v>
      </c>
      <c r="L105" s="8" t="s">
        <v>43</v>
      </c>
    </row>
    <row r="106" spans="1:12" ht="27.6">
      <c r="A106" s="2">
        <v>46198</v>
      </c>
      <c r="B106" t="s">
        <v>11</v>
      </c>
      <c r="C106" s="3">
        <v>46198.6875</v>
      </c>
      <c r="D106" s="3">
        <v>46198.84375</v>
      </c>
      <c r="E106" s="4">
        <v>3.75</v>
      </c>
      <c r="F106" s="5">
        <v>65.010000000000005</v>
      </c>
      <c r="G106" s="6">
        <v>9.3000000000000007</v>
      </c>
      <c r="H106" s="7">
        <v>8</v>
      </c>
      <c r="I106" s="5">
        <f t="shared" si="3"/>
        <v>6.9903225806451612</v>
      </c>
      <c r="J106" t="s">
        <v>16</v>
      </c>
      <c r="K106" t="s">
        <v>13</v>
      </c>
      <c r="L106" s="8" t="s">
        <v>43</v>
      </c>
    </row>
    <row r="107" spans="1:12" ht="27.6">
      <c r="A107" s="2">
        <v>46199</v>
      </c>
      <c r="B107" t="s">
        <v>20</v>
      </c>
      <c r="C107" s="3">
        <v>46199.6875</v>
      </c>
      <c r="D107" s="3">
        <v>46199.802083333336</v>
      </c>
      <c r="E107" s="4">
        <v>2.75</v>
      </c>
      <c r="F107" s="5">
        <v>54.64</v>
      </c>
      <c r="G107" s="6">
        <v>10.7</v>
      </c>
      <c r="H107" s="7">
        <v>6</v>
      </c>
      <c r="I107" s="5">
        <f t="shared" si="3"/>
        <v>5.1065420560747672</v>
      </c>
      <c r="J107" t="s">
        <v>16</v>
      </c>
      <c r="K107" t="s">
        <v>22</v>
      </c>
      <c r="L107" s="8" t="s">
        <v>42</v>
      </c>
    </row>
    <row r="108" spans="1:12" ht="27.6">
      <c r="A108" s="2">
        <v>46200</v>
      </c>
      <c r="B108" t="s">
        <v>20</v>
      </c>
      <c r="C108" s="3">
        <v>46200.729166666664</v>
      </c>
      <c r="D108" s="3">
        <v>46200.875</v>
      </c>
      <c r="E108" s="4">
        <v>3.5</v>
      </c>
      <c r="F108" s="5">
        <v>60.87</v>
      </c>
      <c r="G108" s="6">
        <v>8.6</v>
      </c>
      <c r="H108" s="7">
        <v>7</v>
      </c>
      <c r="I108" s="5">
        <f t="shared" si="3"/>
        <v>7.0779069767441865</v>
      </c>
      <c r="J108" t="s">
        <v>16</v>
      </c>
      <c r="K108" t="s">
        <v>22</v>
      </c>
      <c r="L108" s="8" t="s">
        <v>46</v>
      </c>
    </row>
    <row r="109" spans="1:12" ht="27.6">
      <c r="A109" s="2">
        <v>46201</v>
      </c>
      <c r="B109" t="s">
        <v>18</v>
      </c>
      <c r="C109" s="3">
        <v>46201.729166666664</v>
      </c>
      <c r="D109" s="3">
        <v>46201.885416666664</v>
      </c>
      <c r="E109" s="4">
        <v>3.75</v>
      </c>
      <c r="F109" s="5">
        <v>79.209999999999994</v>
      </c>
      <c r="G109" s="6">
        <v>17.399999999999999</v>
      </c>
      <c r="H109" s="7">
        <v>9</v>
      </c>
      <c r="I109" s="5">
        <f t="shared" si="3"/>
        <v>4.5522988505747124</v>
      </c>
      <c r="J109" t="s">
        <v>28</v>
      </c>
      <c r="K109" t="s">
        <v>13</v>
      </c>
      <c r="L109" s="8" t="s">
        <v>45</v>
      </c>
    </row>
    <row r="110" spans="1:12" ht="27.6">
      <c r="A110" s="2">
        <v>46202</v>
      </c>
      <c r="B110" t="s">
        <v>11</v>
      </c>
      <c r="C110" s="3">
        <v>46202.729166666664</v>
      </c>
      <c r="D110" s="3">
        <v>46202.927083333336</v>
      </c>
      <c r="E110" s="4">
        <v>4.75</v>
      </c>
      <c r="F110" s="5">
        <v>95.04</v>
      </c>
      <c r="G110" s="6">
        <v>15.1</v>
      </c>
      <c r="H110" s="7">
        <v>10</v>
      </c>
      <c r="I110" s="5">
        <f t="shared" si="3"/>
        <v>6.2940397350993385</v>
      </c>
      <c r="J110" t="s">
        <v>16</v>
      </c>
      <c r="K110" t="s">
        <v>22</v>
      </c>
      <c r="L110" s="8" t="s">
        <v>47</v>
      </c>
    </row>
    <row r="111" spans="1:12" ht="27.6">
      <c r="A111" s="2">
        <v>46204</v>
      </c>
      <c r="B111" t="s">
        <v>20</v>
      </c>
      <c r="C111" s="3">
        <v>46204.75</v>
      </c>
      <c r="D111" s="3">
        <v>46204.875</v>
      </c>
      <c r="E111" s="4">
        <v>3</v>
      </c>
      <c r="F111" s="5">
        <v>65.66</v>
      </c>
      <c r="G111" s="6">
        <v>10</v>
      </c>
      <c r="H111" s="7">
        <v>7</v>
      </c>
      <c r="I111" s="5">
        <f t="shared" si="3"/>
        <v>6.5659999999999998</v>
      </c>
      <c r="J111" t="s">
        <v>12</v>
      </c>
      <c r="K111" t="s">
        <v>22</v>
      </c>
      <c r="L111" s="8" t="s">
        <v>43</v>
      </c>
    </row>
    <row r="112" spans="1:12" ht="27.6">
      <c r="A112" s="2">
        <v>46206</v>
      </c>
      <c r="B112" t="s">
        <v>11</v>
      </c>
      <c r="C112" s="3">
        <v>46206.666666666664</v>
      </c>
      <c r="D112" s="3">
        <v>46206.854166666664</v>
      </c>
      <c r="E112" s="4">
        <v>4.5</v>
      </c>
      <c r="F112" s="5">
        <v>96.44</v>
      </c>
      <c r="G112" s="6">
        <v>24.3</v>
      </c>
      <c r="H112" s="7">
        <v>11</v>
      </c>
      <c r="I112" s="5">
        <f t="shared" si="3"/>
        <v>3.9687242798353908</v>
      </c>
      <c r="J112" t="s">
        <v>26</v>
      </c>
      <c r="K112" t="s">
        <v>22</v>
      </c>
      <c r="L112" s="8" t="s">
        <v>46</v>
      </c>
    </row>
    <row r="113" spans="1:12" ht="27.6">
      <c r="A113" s="2">
        <v>46208</v>
      </c>
      <c r="B113" t="s">
        <v>18</v>
      </c>
      <c r="C113" s="3">
        <v>46208.666666666664</v>
      </c>
      <c r="D113" s="3">
        <v>46208.822916666664</v>
      </c>
      <c r="E113" s="4">
        <v>3.75</v>
      </c>
      <c r="F113" s="5">
        <v>78.03</v>
      </c>
      <c r="G113" s="6">
        <v>16.399999999999999</v>
      </c>
      <c r="H113" s="7">
        <v>8</v>
      </c>
      <c r="I113" s="5">
        <f t="shared" si="3"/>
        <v>4.7579268292682935</v>
      </c>
      <c r="J113" t="s">
        <v>12</v>
      </c>
      <c r="K113" t="s">
        <v>13</v>
      </c>
      <c r="L113" s="8" t="s">
        <v>44</v>
      </c>
    </row>
    <row r="114" spans="1:12" ht="27.6">
      <c r="A114" s="2">
        <v>46213</v>
      </c>
      <c r="B114" t="s">
        <v>11</v>
      </c>
      <c r="C114" s="3">
        <v>46213.708333333336</v>
      </c>
      <c r="D114" s="3">
        <v>46213.833333333336</v>
      </c>
      <c r="E114" s="4">
        <v>3</v>
      </c>
      <c r="F114" s="5">
        <v>58.37</v>
      </c>
      <c r="G114" s="6">
        <v>8</v>
      </c>
      <c r="H114" s="7">
        <v>5</v>
      </c>
      <c r="I114" s="5">
        <f t="shared" si="3"/>
        <v>7.2962499999999997</v>
      </c>
      <c r="J114" t="s">
        <v>16</v>
      </c>
      <c r="K114" t="s">
        <v>13</v>
      </c>
      <c r="L114" s="8" t="s">
        <v>45</v>
      </c>
    </row>
    <row r="115" spans="1:12" ht="27.6">
      <c r="A115" s="2">
        <v>46214</v>
      </c>
      <c r="B115" t="s">
        <v>20</v>
      </c>
      <c r="C115" s="3">
        <v>46214.6875</v>
      </c>
      <c r="D115" s="3">
        <v>46214.8125</v>
      </c>
      <c r="E115" s="4">
        <v>3</v>
      </c>
      <c r="F115" s="5">
        <v>61.89</v>
      </c>
      <c r="G115" s="6">
        <v>9.6999999999999993</v>
      </c>
      <c r="H115" s="7">
        <v>7</v>
      </c>
      <c r="I115" s="5">
        <f t="shared" si="3"/>
        <v>6.380412371134021</v>
      </c>
      <c r="J115" t="s">
        <v>16</v>
      </c>
      <c r="K115" t="s">
        <v>22</v>
      </c>
      <c r="L115" s="8" t="s">
        <v>46</v>
      </c>
    </row>
    <row r="116" spans="1:12" ht="27.6">
      <c r="A116" s="2">
        <v>46215</v>
      </c>
      <c r="B116" t="s">
        <v>20</v>
      </c>
      <c r="C116" s="3">
        <v>46215.708333333336</v>
      </c>
      <c r="D116" s="3">
        <v>46215.822916666664</v>
      </c>
      <c r="E116" s="4">
        <v>2.75</v>
      </c>
      <c r="F116" s="5">
        <v>56.87</v>
      </c>
      <c r="G116" s="6">
        <v>12.2</v>
      </c>
      <c r="H116" s="7">
        <v>6</v>
      </c>
      <c r="I116" s="5">
        <f t="shared" si="3"/>
        <v>4.6614754098360658</v>
      </c>
      <c r="J116" t="s">
        <v>16</v>
      </c>
      <c r="K116" t="s">
        <v>22</v>
      </c>
      <c r="L116" s="8" t="s">
        <v>46</v>
      </c>
    </row>
    <row r="117" spans="1:12" ht="27.6">
      <c r="A117" s="2">
        <v>46220</v>
      </c>
      <c r="B117" t="s">
        <v>40</v>
      </c>
      <c r="C117" s="3">
        <v>46220.75</v>
      </c>
      <c r="D117" s="3">
        <v>46220.916666666664</v>
      </c>
      <c r="E117" s="4">
        <v>4</v>
      </c>
      <c r="F117" s="5">
        <v>92.15</v>
      </c>
      <c r="G117" s="6">
        <v>14.4</v>
      </c>
      <c r="H117" s="7">
        <v>10</v>
      </c>
      <c r="I117" s="5">
        <f t="shared" si="3"/>
        <v>6.3993055555555554</v>
      </c>
      <c r="J117" t="s">
        <v>16</v>
      </c>
      <c r="K117" t="s">
        <v>22</v>
      </c>
      <c r="L117" s="8" t="s">
        <v>44</v>
      </c>
    </row>
    <row r="118" spans="1:12" ht="27.6">
      <c r="A118" s="2">
        <v>46221</v>
      </c>
      <c r="B118" t="s">
        <v>11</v>
      </c>
      <c r="C118" s="3">
        <v>46221.729166666664</v>
      </c>
      <c r="D118" s="3">
        <v>46221.854166666664</v>
      </c>
      <c r="E118" s="4">
        <v>3</v>
      </c>
      <c r="F118" s="5">
        <v>57.09</v>
      </c>
      <c r="G118" s="6">
        <v>11.3</v>
      </c>
      <c r="H118" s="7">
        <v>6</v>
      </c>
      <c r="I118" s="5">
        <f t="shared" si="3"/>
        <v>5.0522123893805313</v>
      </c>
      <c r="J118" t="s">
        <v>28</v>
      </c>
      <c r="K118" t="s">
        <v>22</v>
      </c>
      <c r="L118" s="8" t="s">
        <v>42</v>
      </c>
    </row>
    <row r="119" spans="1:12" ht="27.6">
      <c r="A119" s="2">
        <v>46222</v>
      </c>
      <c r="B119" t="s">
        <v>11</v>
      </c>
      <c r="C119" s="3">
        <v>46222.729166666664</v>
      </c>
      <c r="D119" s="3">
        <v>46222.875</v>
      </c>
      <c r="E119" s="4">
        <v>3.5</v>
      </c>
      <c r="F119" s="5">
        <v>62.28</v>
      </c>
      <c r="G119" s="6">
        <v>9.8000000000000007</v>
      </c>
      <c r="H119" s="7">
        <v>7</v>
      </c>
      <c r="I119" s="5">
        <f t="shared" si="3"/>
        <v>6.3551020408163259</v>
      </c>
      <c r="J119" t="s">
        <v>16</v>
      </c>
      <c r="K119" t="s">
        <v>13</v>
      </c>
      <c r="L119" s="8" t="s">
        <v>46</v>
      </c>
    </row>
  </sheetData>
  <conditionalFormatting sqref="F2:F119">
    <cfRule type="dataBar" priority="2">
      <dataBar>
        <cfvo type="min"/>
        <cfvo type="max"/>
        <color rgb="FFB91C1C"/>
      </dataBar>
    </cfRule>
    <cfRule type="dataBar" priority="3">
      <dataBar>
        <cfvo type="min"/>
        <cfvo type="max"/>
        <color rgb="FFB91C1C"/>
      </dataBar>
      <extLst>
        <ext xmlns:x14="http://schemas.microsoft.com/office/spreadsheetml/2009/9/main" uri="{B025F937-C7B1-47D3-B67F-A62EFF666E3E}">
          <x14:id>{9D1840D8-9DF5-04EB-516E-51037BFEECFD}</x14:id>
        </ext>
      </extLst>
    </cfRule>
  </conditionalFormatting>
  <conditionalFormatting sqref="I2:I119">
    <cfRule type="colorScale" priority="1">
      <colorScale>
        <cfvo type="min"/>
        <cfvo type="percentile" val="50"/>
        <cfvo type="max"/>
        <color rgb="FFFECACA"/>
        <color rgb="FFFEF3C7"/>
        <color rgb="FFDCFCE7"/>
      </colorScale>
    </cfRule>
  </conditionalFormatting>
  <pageMargins left="0.7" right="0.7" top="0.75" bottom="0.75" header="0.3" footer="0.3"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D1840D8-9DF5-04EB-516E-51037BFEECFD}">
            <x14:dataBar>
              <x14:cfvo type="min"/>
              <x14:cfvo type="max"/>
              <x14:negativeFillColor auto="1"/>
              <x14:axisColor auto="1"/>
            </x14:dataBar>
          </x14:cfRule>
          <xm:sqref>F2:F119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workbookViewId="0"/>
  </sheetViews>
  <sheetFormatPr defaultRowHeight="13.8"/>
  <cols>
    <col min="1" max="1" width="27" customWidth="1"/>
    <col min="2" max="2" width="88" customWidth="1"/>
  </cols>
  <sheetData>
    <row r="1" spans="1:2" ht="15.6">
      <c r="A1" s="11" t="s">
        <v>48</v>
      </c>
      <c r="B1" s="12"/>
    </row>
    <row r="2" spans="1:2">
      <c r="A2" s="9" t="s">
        <v>49</v>
      </c>
      <c r="B2" t="s">
        <v>50</v>
      </c>
    </row>
    <row r="3" spans="1:2">
      <c r="A3" s="9" t="s">
        <v>51</v>
      </c>
      <c r="B3" t="s">
        <v>52</v>
      </c>
    </row>
    <row r="4" spans="1:2">
      <c r="A4" s="9" t="s">
        <v>53</v>
      </c>
      <c r="B4" t="s">
        <v>54</v>
      </c>
    </row>
    <row r="5" spans="1:2">
      <c r="A5" s="9" t="s">
        <v>55</v>
      </c>
      <c r="B5" t="s">
        <v>56</v>
      </c>
    </row>
    <row r="6" spans="1:2">
      <c r="A6" s="9" t="s">
        <v>57</v>
      </c>
      <c r="B6" t="s">
        <v>58</v>
      </c>
    </row>
    <row r="7" spans="1:2">
      <c r="A7" s="9" t="s">
        <v>59</v>
      </c>
      <c r="B7" t="s">
        <v>60</v>
      </c>
    </row>
    <row r="8" spans="1:2">
      <c r="A8" s="9" t="s">
        <v>61</v>
      </c>
      <c r="B8" t="s">
        <v>62</v>
      </c>
    </row>
    <row r="9" spans="1:2">
      <c r="A9" s="9" t="s">
        <v>63</v>
      </c>
      <c r="B9" t="s">
        <v>64</v>
      </c>
    </row>
    <row r="10" spans="1:2">
      <c r="A10" s="9" t="s">
        <v>65</v>
      </c>
      <c r="B10" t="s">
        <v>66</v>
      </c>
    </row>
    <row r="11" spans="1:2">
      <c r="A11" s="9" t="s">
        <v>67</v>
      </c>
      <c r="B11" t="s">
        <v>68</v>
      </c>
    </row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"/>
  <sheetViews>
    <sheetView workbookViewId="0"/>
  </sheetViews>
  <sheetFormatPr defaultRowHeight="13.8"/>
  <cols>
    <col min="1" max="1" width="23" customWidth="1"/>
    <col min="2" max="2" width="58" customWidth="1"/>
    <col min="3" max="3" width="48" customWidth="1"/>
  </cols>
  <sheetData>
    <row r="1" spans="1:3">
      <c r="A1" s="10" t="s">
        <v>69</v>
      </c>
      <c r="B1" s="10" t="s">
        <v>70</v>
      </c>
      <c r="C1" s="10" t="s">
        <v>71</v>
      </c>
    </row>
    <row r="2" spans="1:3">
      <c r="A2" t="s">
        <v>72</v>
      </c>
      <c r="B2" t="s">
        <v>73</v>
      </c>
      <c r="C2" t="s">
        <v>74</v>
      </c>
    </row>
    <row r="3" spans="1:3">
      <c r="A3" t="s">
        <v>75</v>
      </c>
      <c r="B3" t="s">
        <v>76</v>
      </c>
      <c r="C3" t="s">
        <v>77</v>
      </c>
    </row>
    <row r="4" spans="1:3">
      <c r="A4" t="s">
        <v>78</v>
      </c>
      <c r="B4" t="s">
        <v>79</v>
      </c>
      <c r="C4" t="s">
        <v>80</v>
      </c>
    </row>
    <row r="5" spans="1:3">
      <c r="A5" t="s">
        <v>81</v>
      </c>
      <c r="B5" t="s">
        <v>82</v>
      </c>
      <c r="C5" t="s">
        <v>83</v>
      </c>
    </row>
    <row r="6" spans="1:3">
      <c r="A6" t="s">
        <v>84</v>
      </c>
      <c r="B6" t="s">
        <v>85</v>
      </c>
      <c r="C6" t="s">
        <v>86</v>
      </c>
    </row>
    <row r="7" spans="1:3">
      <c r="A7" t="s">
        <v>87</v>
      </c>
      <c r="B7" t="s">
        <v>88</v>
      </c>
      <c r="C7" t="s">
        <v>89</v>
      </c>
    </row>
    <row r="8" spans="1:3">
      <c r="A8" t="s">
        <v>90</v>
      </c>
      <c r="B8" t="s">
        <v>91</v>
      </c>
      <c r="C8" t="s">
        <v>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Shift_Data</vt:lpstr>
      <vt:lpstr>Analysis_Guide</vt:lpstr>
      <vt:lpstr>Strategy_Rules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Nico Rafael</cp:lastModifiedBy>
  <dcterms:modified xsi:type="dcterms:W3CDTF">2026-07-29T02:13:28Z</dcterms:modified>
</cp:coreProperties>
</file>