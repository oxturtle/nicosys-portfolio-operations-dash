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user0\Documents\nicosys-portfolio-operations-dash\excel-validation\"/>
    </mc:Choice>
  </mc:AlternateContent>
  <xr:revisionPtr revIDLastSave="0" documentId="13_ncr:1_{579E4447-F3E1-4C7F-A75F-EF6D4ECE4924}" xr6:coauthVersionLast="47" xr6:coauthVersionMax="47" xr10:uidLastSave="{00000000-0000-0000-0000-000000000000}"/>
  <bookViews>
    <workbookView xWindow="10200" yWindow="1524" windowWidth="12840" windowHeight="12156" firstSheet="6" activeTab="6" xr2:uid="{6F76AFDF-4A9B-475D-A4BF-90421F07DB89}"/>
  </bookViews>
  <sheets>
    <sheet name="hrs_dollars_per_shift" sheetId="10" r:id="rId1"/>
    <sheet name="dollar_per_mile" sheetId="9" r:id="rId2"/>
    <sheet name="avg_earnings_shift_type_day" sheetId="5" r:id="rId3"/>
    <sheet name="Sheet1" sheetId="2" r:id="rId4"/>
    <sheet name="Money_by_day" sheetId="4" r:id="rId5"/>
    <sheet name="zone_earnings_by_busy_days" sheetId="8" r:id="rId6"/>
    <sheet name="Doordash_Synthetic_Performance_" sheetId="1" r:id="rId7"/>
    <sheet name="Sheet2" sheetId="3" r:id="rId8"/>
  </sheets>
  <definedNames>
    <definedName name="_xlnm._FilterDatabase" localSheetId="6" hidden="1">Doordash_Synthetic_Performance_!$A$1:$N$119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2" i="1"/>
</calcChain>
</file>

<file path=xl/sharedStrings.xml><?xml version="1.0" encoding="utf-8"?>
<sst xmlns="http://schemas.openxmlformats.org/spreadsheetml/2006/main" count="555" uniqueCount="70">
  <si>
    <t>shift_date</t>
  </si>
  <si>
    <t>shift_type</t>
  </si>
  <si>
    <t>start_time</t>
  </si>
  <si>
    <t>end_time</t>
  </si>
  <si>
    <t>hours_worked</t>
  </si>
  <si>
    <t>gross_earnings</t>
  </si>
  <si>
    <t>estimated_miles</t>
  </si>
  <si>
    <t>orders_completed</t>
  </si>
  <si>
    <t>avg_dollars_per_mile</t>
  </si>
  <si>
    <t>dash_zone</t>
  </si>
  <si>
    <t>bonus_active</t>
  </si>
  <si>
    <t>notes</t>
  </si>
  <si>
    <t>day_name</t>
  </si>
  <si>
    <t>Dinner</t>
  </si>
  <si>
    <t>Southwest</t>
  </si>
  <si>
    <t>No</t>
  </si>
  <si>
    <t>Accepted most offers; several long-distance orders.</t>
  </si>
  <si>
    <t>Lunch</t>
  </si>
  <si>
    <t>Henderson</t>
  </si>
  <si>
    <t>Chased a bonus outside the best zone.</t>
  </si>
  <si>
    <t>Weekend Dinner</t>
  </si>
  <si>
    <t>Long shift with weak late-hour demand.</t>
  </si>
  <si>
    <t>Peak Pay</t>
  </si>
  <si>
    <t>Summerlin</t>
  </si>
  <si>
    <t>Yes</t>
  </si>
  <si>
    <t>Open Schedule</t>
  </si>
  <si>
    <t>No firm minimum payout rule yet.</t>
  </si>
  <si>
    <t>Waited too long at a slow merchant; low order turnover.</t>
  </si>
  <si>
    <t>North Las Vegas</t>
  </si>
  <si>
    <t>Stacked order looked good but added excessive miles.</t>
  </si>
  <si>
    <t>Green Valley</t>
  </si>
  <si>
    <t>Used $1.50/mile as a minimum screening rule.</t>
  </si>
  <si>
    <t>Ended shift earlier when hourly rate began falling.</t>
  </si>
  <si>
    <t>Tested a preferred merchant list; fewer long waits.</t>
  </si>
  <si>
    <t>Started declining offers below $7 unless mileage was very low.</t>
  </si>
  <si>
    <t>Tracked estimated completion time before accepting.</t>
  </si>
  <si>
    <t>Moved back to a stronger zone after demand slowed.</t>
  </si>
  <si>
    <t>Prioritized reliable merchants with fast pickup times.</t>
  </si>
  <si>
    <t>Used estimated time per order to protect hourly earnings.</t>
  </si>
  <si>
    <t>Applied $7+ order and $2/mile targets consistently.</t>
  </si>
  <si>
    <t>Worked only the strongest dinner window.</t>
  </si>
  <si>
    <t>Declined orders with poor return-mile potential.</t>
  </si>
  <si>
    <t>Targeted Sprint</t>
  </si>
  <si>
    <t>Avoided low-value stacks and apartment-heavy routes.</t>
  </si>
  <si>
    <t>Accepted only offers meeting payout, mileage, and time criteria.</t>
  </si>
  <si>
    <t>Maintained $7+ order floor with limited strategic exceptions.</t>
  </si>
  <si>
    <t>Strong zone positioning reduced idle time and dead miles.</t>
  </si>
  <si>
    <t>Targeted high-volume merchants and ended after the dinner peak.</t>
  </si>
  <si>
    <t>Stopped when order quality dropped instead of extending the shift.</t>
  </si>
  <si>
    <t>Short, focused shift produced better earnings than older long shifts.</t>
  </si>
  <si>
    <t>Sum of gross_earnings</t>
  </si>
  <si>
    <t>Row Labels</t>
  </si>
  <si>
    <t>Grand Total</t>
  </si>
  <si>
    <t>Days of Week</t>
  </si>
  <si>
    <t>Days Of Week</t>
  </si>
  <si>
    <t>Sunday</t>
  </si>
  <si>
    <t>Monday</t>
  </si>
  <si>
    <t>Tuesday</t>
  </si>
  <si>
    <t>Wednesday</t>
  </si>
  <si>
    <t>Thursday</t>
  </si>
  <si>
    <t>Friday</t>
  </si>
  <si>
    <t>Saturday</t>
  </si>
  <si>
    <t>Day of Week</t>
  </si>
  <si>
    <t>Number of Day</t>
  </si>
  <si>
    <t>Average of gross_earnings</t>
  </si>
  <si>
    <t>Shift Type by Day</t>
  </si>
  <si>
    <t>Average of avg_dollars_per_mile</t>
  </si>
  <si>
    <t>Max of avg_dollars_per_mile</t>
  </si>
  <si>
    <t>Min of avg_dollars_per_mile</t>
  </si>
  <si>
    <t>Sum of hours_worked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</si>
</sst>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64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Rafael" refreshedDate="46235.704027777778" createdVersion="8" refreshedVersion="8" minRefreshableVersion="3" recordCount="118" xr:uid="{DC7CF166-45DE-48D8-8055-1DE4EA1F51F1}">
  <cacheSource type="worksheet">
    <worksheetSource ref="A1:M119" sheet="Doordash_Synthetic_Performance_"/>
  </cacheSource>
  <cacheFields count="13">
    <cacheField name="shift_date" numFmtId="14">
      <sharedItems containsSemiMixedTypes="0" containsNonDate="0" containsDate="1" containsString="0" minDate="2025-11-03T00:00:00" maxDate="2026-07-20T00:00:00"/>
    </cacheField>
    <cacheField name="shift_type" numFmtId="0">
      <sharedItems/>
    </cacheField>
    <cacheField name="start_time" numFmtId="21">
      <sharedItems containsSemiMixedTypes="0" containsNonDate="0" containsDate="1" containsString="0" minDate="1899-12-30T10:45:00" maxDate="1899-12-30T18:00:00"/>
    </cacheField>
    <cacheField name="end_time" numFmtId="21">
      <sharedItems containsSemiMixedTypes="0" containsNonDate="0" containsDate="1" containsString="0" minDate="1899-12-30T00:00:00" maxDate="1899-12-31T00:00:00"/>
    </cacheField>
    <cacheField name="hours_worked" numFmtId="0">
      <sharedItems containsSemiMixedTypes="0" containsString="0" containsNumber="1" minValue="2.75" maxValue="7.75"/>
    </cacheField>
    <cacheField name="gross_earnings" numFmtId="0">
      <sharedItems containsSemiMixedTypes="0" containsString="0" containsNumber="1" minValue="32.409999999999997" maxValue="96.44"/>
    </cacheField>
    <cacheField name="estimated_miles" numFmtId="0">
      <sharedItems containsSemiMixedTypes="0" containsString="0" containsNumber="1" minValue="8" maxValue="112"/>
    </cacheField>
    <cacheField name="orders_completed" numFmtId="0">
      <sharedItems containsSemiMixedTypes="0" containsString="0" containsNumber="1" containsInteger="1" minValue="5" maxValue="13"/>
    </cacheField>
    <cacheField name="avg_dollars_per_mile" numFmtId="0">
      <sharedItems containsSemiMixedTypes="0" containsString="0" containsNumber="1" minValue="0.6" maxValue="8.5500000000000007"/>
    </cacheField>
    <cacheField name="dash_zone" numFmtId="0">
      <sharedItems/>
    </cacheField>
    <cacheField name="bonus_active" numFmtId="0">
      <sharedItems/>
    </cacheField>
    <cacheField name="notes" numFmtId="0">
      <sharedItems/>
    </cacheField>
    <cacheField name="day_name" numFmtId="0">
      <sharedItems containsSemiMixedTypes="0" containsString="0" containsNumber="1" containsInteger="1" minValue="0" maxValue="6" count="7">
        <n v="1"/>
        <n v="4"/>
        <n v="5"/>
        <n v="6"/>
        <n v="0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Rafael" refreshedDate="46235.709644675924" createdVersion="8" refreshedVersion="8" minRefreshableVersion="3" recordCount="118" xr:uid="{9D4C1C12-376A-42F5-982E-5DC17FE481CF}">
  <cacheSource type="worksheet">
    <worksheetSource ref="A1:N119" sheet="Doordash_Synthetic_Performance_"/>
  </cacheSource>
  <cacheFields count="17">
    <cacheField name="shift_date" numFmtId="14">
      <sharedItems containsSemiMixedTypes="0" containsNonDate="0" containsDate="1" containsString="0" minDate="2025-11-03T00:00:00" maxDate="2026-07-20T00:00:00" count="118">
        <d v="2025-11-03T00:00:00"/>
        <d v="2025-11-06T00:00:00"/>
        <d v="2025-11-07T00:00:00"/>
        <d v="2025-11-08T00:00:00"/>
        <d v="2025-11-09T00:00:00"/>
        <d v="2025-11-14T00:00:00"/>
        <d v="2025-11-15T00:00:00"/>
        <d v="2025-11-16T00:00:00"/>
        <d v="2025-11-21T00:00:00"/>
        <d v="2025-11-22T00:00:00"/>
        <d v="2025-11-23T00:00:00"/>
        <d v="2025-11-30T00:00:00"/>
        <d v="2025-12-02T00:00:00"/>
        <d v="2025-12-03T00:00:00"/>
        <d v="2025-12-05T00:00:00"/>
        <d v="2025-12-06T00:00:00"/>
        <d v="2025-12-07T00:00:00"/>
        <d v="2025-12-09T00:00:00"/>
        <d v="2025-12-13T00:00:00"/>
        <d v="2025-12-14T00:00:00"/>
        <d v="2025-12-19T00:00:00"/>
        <d v="2025-12-20T00:00:00"/>
        <d v="2025-12-21T00:00:00"/>
        <d v="2025-12-27T00:00:00"/>
        <d v="2025-12-28T00:00:00"/>
        <d v="2025-12-30T00:00:00"/>
        <d v="2025-12-31T00:00:00"/>
        <d v="2026-01-03T00:00:00"/>
        <d v="2026-01-04T00:00:00"/>
        <d v="2026-01-08T00:00:00"/>
        <d v="2026-01-09T00:00:00"/>
        <d v="2026-01-11T00:00:00"/>
        <d v="2026-01-15T00:00:00"/>
        <d v="2026-01-24T00:00:00"/>
        <d v="2026-01-25T00:00:00"/>
        <d v="2026-01-30T00:00:00"/>
        <d v="2026-01-31T00:00:00"/>
        <d v="2026-02-06T00:00:00"/>
        <d v="2026-02-07T00:00:00"/>
        <d v="2026-02-08T00:00:00"/>
        <d v="2026-02-09T00:00:00"/>
        <d v="2026-02-11T00:00:00"/>
        <d v="2026-02-13T00:00:00"/>
        <d v="2026-02-15T00:00:00"/>
        <d v="2026-02-20T00:00:00"/>
        <d v="2026-02-21T00:00:00"/>
        <d v="2026-02-23T00:00:00"/>
        <d v="2026-02-27T00:00:00"/>
        <d v="2026-03-01T00:00:00"/>
        <d v="2026-03-05T00:00:00"/>
        <d v="2026-03-06T00:00:00"/>
        <d v="2026-03-07T00:00:00"/>
        <d v="2026-03-08T00:00:00"/>
        <d v="2026-03-11T00:00:00"/>
        <d v="2026-03-13T00:00:00"/>
        <d v="2026-03-14T00:00:00"/>
        <d v="2026-03-15T00:00:00"/>
        <d v="2026-03-19T00:00:00"/>
        <d v="2026-03-20T00:00:00"/>
        <d v="2026-03-21T00:00:00"/>
        <d v="2026-03-22T00:00:00"/>
        <d v="2026-03-26T00:00:00"/>
        <d v="2026-03-27T00:00:00"/>
        <d v="2026-03-28T00:00:00"/>
        <d v="2026-03-29T00:00:00"/>
        <d v="2026-04-05T00:00:00"/>
        <d v="2026-04-09T00:00:00"/>
        <d v="2026-04-11T00:00:00"/>
        <d v="2026-04-14T00:00:00"/>
        <d v="2026-04-15T00:00:00"/>
        <d v="2026-04-17T00:00:00"/>
        <d v="2026-04-18T00:00:00"/>
        <d v="2026-04-19T00:00:00"/>
        <d v="2026-04-20T00:00:00"/>
        <d v="2026-04-22T00:00:00"/>
        <d v="2026-04-23T00:00:00"/>
        <d v="2026-04-24T00:00:00"/>
        <d v="2026-04-26T00:00:00"/>
        <d v="2026-04-29T00:00:00"/>
        <d v="2026-04-30T00:00:00"/>
        <d v="2026-05-01T00:00:00"/>
        <d v="2026-05-02T00:00:00"/>
        <d v="2026-05-03T00:00:00"/>
        <d v="2026-05-06T00:00:00"/>
        <d v="2026-05-08T00:00:00"/>
        <d v="2026-05-09T00:00:00"/>
        <d v="2026-05-14T00:00:00"/>
        <d v="2026-05-15T00:00:00"/>
        <d v="2026-05-21T00:00:00"/>
        <d v="2026-05-22T00:00:00"/>
        <d v="2026-05-24T00:00:00"/>
        <d v="2026-05-26T00:00:00"/>
        <d v="2026-05-28T00:00:00"/>
        <d v="2026-05-30T00:00:00"/>
        <d v="2026-05-31T00:00:00"/>
        <d v="2026-06-03T00:00:00"/>
        <d v="2026-06-07T00:00:00"/>
        <d v="2026-06-10T00:00:00"/>
        <d v="2026-06-12T00:00:00"/>
        <d v="2026-06-14T00:00:00"/>
        <d v="2026-06-16T00:00:00"/>
        <d v="2026-06-19T00:00:00"/>
        <d v="2026-06-20T00:00:00"/>
        <d v="2026-06-21T00:00:00"/>
        <d v="2026-06-25T00:00:00"/>
        <d v="2026-06-26T00:00:00"/>
        <d v="2026-06-27T00:00:00"/>
        <d v="2026-06-28T00:00:00"/>
        <d v="2026-06-29T00:00:00"/>
        <d v="2026-07-01T00:00:00"/>
        <d v="2026-07-03T00:00:00"/>
        <d v="2026-07-05T00:00:00"/>
        <d v="2026-07-10T00:00:00"/>
        <d v="2026-07-11T00:00:00"/>
        <d v="2026-07-12T00:00:00"/>
        <d v="2026-07-17T00:00:00"/>
        <d v="2026-07-18T00:00:00"/>
        <d v="2026-07-19T00:00:00"/>
      </sharedItems>
      <fieldGroup par="16"/>
    </cacheField>
    <cacheField name="shift_type" numFmtId="0">
      <sharedItems count="6">
        <s v="Dinner"/>
        <s v="Lunch"/>
        <s v="Weekend Dinner"/>
        <s v="Peak Pay"/>
        <s v="Open Schedule"/>
        <s v="Targeted Sprint"/>
      </sharedItems>
    </cacheField>
    <cacheField name="start_time" numFmtId="21">
      <sharedItems containsSemiMixedTypes="0" containsNonDate="0" containsDate="1" containsString="0" minDate="1899-12-30T10:45:00" maxDate="1899-12-30T18:00:00"/>
    </cacheField>
    <cacheField name="end_time" numFmtId="21">
      <sharedItems containsSemiMixedTypes="0" containsNonDate="0" containsDate="1" containsString="0" minDate="1899-12-30T00:00:00" maxDate="1899-12-31T00:00:00"/>
    </cacheField>
    <cacheField name="hours_worked" numFmtId="0">
      <sharedItems containsSemiMixedTypes="0" containsString="0" containsNumber="1" minValue="2.75" maxValue="7.75"/>
    </cacheField>
    <cacheField name="gross_earnings" numFmtId="0">
      <sharedItems containsSemiMixedTypes="0" containsString="0" containsNumber="1" minValue="32.409999999999997" maxValue="96.44"/>
    </cacheField>
    <cacheField name="estimated_miles" numFmtId="0">
      <sharedItems containsSemiMixedTypes="0" containsString="0" containsNumber="1" minValue="8" maxValue="112"/>
    </cacheField>
    <cacheField name="orders_completed" numFmtId="0">
      <sharedItems containsSemiMixedTypes="0" containsString="0" containsNumber="1" containsInteger="1" minValue="5" maxValue="13"/>
    </cacheField>
    <cacheField name="avg_dollars_per_mile" numFmtId="0">
      <sharedItems containsSemiMixedTypes="0" containsString="0" containsNumber="1" minValue="0.6" maxValue="8.5500000000000007"/>
    </cacheField>
    <cacheField name="dash_zone" numFmtId="0">
      <sharedItems count="5">
        <s v="Southwest"/>
        <s v="Henderson"/>
        <s v="Summerlin"/>
        <s v="North Las Vegas"/>
        <s v="Green Valley"/>
      </sharedItems>
    </cacheField>
    <cacheField name="bonus_active" numFmtId="0">
      <sharedItems/>
    </cacheField>
    <cacheField name="notes" numFmtId="0">
      <sharedItems/>
    </cacheField>
    <cacheField name="day_name" numFmtId="0">
      <sharedItems containsSemiMixedTypes="0" containsString="0" containsNumber="1" containsInteger="1" minValue="0" maxValue="6" count="7">
        <n v="1"/>
        <n v="4"/>
        <n v="5"/>
        <n v="6"/>
        <n v="0"/>
        <n v="2"/>
        <n v="3"/>
      </sharedItems>
    </cacheField>
    <cacheField name="Day of Week" numFmtId="0">
      <sharedItems count="7">
        <s v="Monday"/>
        <s v="Thursday"/>
        <s v="Friday"/>
        <s v="Saturday"/>
        <s v="Sunday"/>
        <s v="Tuesday"/>
        <s v="Wednesday"/>
      </sharedItems>
    </cacheField>
    <cacheField name="Months (shift_date)" numFmtId="0" databaseField="0">
      <fieldGroup base="0">
        <rangePr groupBy="months" startDate="2025-11-03T00:00:00" endDate="2026-07-20T00:00:00"/>
        <groupItems count="14">
          <s v="&lt;1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0/2026"/>
        </groupItems>
      </fieldGroup>
    </cacheField>
    <cacheField name="Quarters (shift_date)" numFmtId="0" databaseField="0">
      <fieldGroup base="0">
        <rangePr groupBy="quarters" startDate="2025-11-03T00:00:00" endDate="2026-07-20T00:00:00"/>
        <groupItems count="6">
          <s v="&lt;11/3/2025"/>
          <s v="Qtr1"/>
          <s v="Qtr2"/>
          <s v="Qtr3"/>
          <s v="Qtr4"/>
          <s v="&gt;7/20/2026"/>
        </groupItems>
      </fieldGroup>
    </cacheField>
    <cacheField name="Years (shift_date)" numFmtId="0" databaseField="0">
      <fieldGroup base="0">
        <rangePr groupBy="years" startDate="2025-11-03T00:00:00" endDate="2026-07-20T00:00:00"/>
        <groupItems count="4">
          <s v="&lt;11/3/2025"/>
          <s v="2025"/>
          <s v="2026"/>
          <s v="&gt;7/2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d v="2025-11-03T00:00:00"/>
    <s v="Dinner"/>
    <d v="1899-12-30T17:00:00"/>
    <d v="1899-12-30T00:00:00"/>
    <n v="7"/>
    <n v="70.739999999999995"/>
    <n v="73"/>
    <n v="12"/>
    <n v="0.97"/>
    <s v="Southwest"/>
    <s v="No"/>
    <s v="Accepted most offers; several long-distance orders."/>
    <x v="0"/>
  </r>
  <r>
    <d v="2025-11-06T00:00:00"/>
    <s v="Lunch"/>
    <d v="1899-12-30T10:45:00"/>
    <d v="1899-12-30T17:00:00"/>
    <n v="6.25"/>
    <n v="64.67"/>
    <n v="62.4"/>
    <n v="10"/>
    <n v="1.04"/>
    <s v="Henderson"/>
    <s v="No"/>
    <s v="Chased a bonus outside the best zone."/>
    <x v="1"/>
  </r>
  <r>
    <d v="2025-11-07T00:00:00"/>
    <s v="Weekend Dinner"/>
    <d v="1899-12-30T16:30:00"/>
    <d v="1899-12-30T21:45:00"/>
    <n v="5.25"/>
    <n v="52.87"/>
    <n v="74.599999999999994"/>
    <n v="9"/>
    <n v="0.71"/>
    <s v="Henderson"/>
    <s v="No"/>
    <s v="Long shift with weak late-hour demand."/>
    <x v="2"/>
  </r>
  <r>
    <d v="2025-11-08T00:00:00"/>
    <s v="Peak Pay"/>
    <d v="1899-12-30T17:30:00"/>
    <d v="1899-12-30T22:30:00"/>
    <n v="5"/>
    <n v="43.73"/>
    <n v="57"/>
    <n v="7"/>
    <n v="0.77"/>
    <s v="Summerlin"/>
    <s v="Yes"/>
    <s v="Chased a bonus outside the best zone."/>
    <x v="3"/>
  </r>
  <r>
    <d v="2025-11-09T00:00:00"/>
    <s v="Open Schedule"/>
    <d v="1899-12-30T14:30:00"/>
    <d v="1899-12-30T20:00:00"/>
    <n v="5.5"/>
    <n v="44.78"/>
    <n v="74.900000000000006"/>
    <n v="7"/>
    <n v="0.6"/>
    <s v="Henderson"/>
    <s v="No"/>
    <s v="Long shift with weak late-hour demand."/>
    <x v="4"/>
  </r>
  <r>
    <d v="2025-11-14T00:00:00"/>
    <s v="Dinner"/>
    <d v="1899-12-30T17:30:00"/>
    <d v="1899-12-30T01:15:00"/>
    <n v="7.75"/>
    <n v="70.59"/>
    <n v="112"/>
    <n v="13"/>
    <n v="0.63"/>
    <s v="Henderson"/>
    <s v="No"/>
    <s v="No firm minimum payout rule yet."/>
    <x v="2"/>
  </r>
  <r>
    <d v="2025-11-15T00:00:00"/>
    <s v="Peak Pay"/>
    <d v="1899-12-30T16:00:00"/>
    <d v="1899-12-30T22:45:00"/>
    <n v="6.75"/>
    <n v="75.849999999999994"/>
    <n v="94.7"/>
    <n v="10"/>
    <n v="0.8"/>
    <s v="Southwest"/>
    <s v="Yes"/>
    <s v="Waited too long at a slow merchant; low order turnover."/>
    <x v="3"/>
  </r>
  <r>
    <d v="2025-11-16T00:00:00"/>
    <s v="Peak Pay"/>
    <d v="1899-12-30T17:00:00"/>
    <d v="1899-12-30T00:00:00"/>
    <n v="7"/>
    <n v="59.22"/>
    <n v="73.3"/>
    <n v="8"/>
    <n v="0.81"/>
    <s v="Henderson"/>
    <s v="Yes"/>
    <s v="Chased a bonus outside the best zone."/>
    <x v="4"/>
  </r>
  <r>
    <d v="2025-11-21T00:00:00"/>
    <s v="Peak Pay"/>
    <d v="1899-12-30T16:30:00"/>
    <d v="1899-12-30T23:15:00"/>
    <n v="6.75"/>
    <n v="74.08"/>
    <n v="74.7"/>
    <n v="12"/>
    <n v="0.99"/>
    <s v="Southwest"/>
    <s v="Yes"/>
    <s v="Long shift with weak late-hour demand."/>
    <x v="2"/>
  </r>
  <r>
    <d v="2025-11-22T00:00:00"/>
    <s v="Dinner"/>
    <d v="1899-12-30T18:00:00"/>
    <d v="1899-12-30T23:45:00"/>
    <n v="5.75"/>
    <n v="50.13"/>
    <n v="65.7"/>
    <n v="9"/>
    <n v="0.76"/>
    <s v="Southwest"/>
    <s v="No"/>
    <s v="Accepted most offers; several long-distance orders."/>
    <x v="3"/>
  </r>
  <r>
    <d v="2025-11-23T00:00:00"/>
    <s v="Dinner"/>
    <d v="1899-12-30T16:00:00"/>
    <d v="1899-12-30T22:45:00"/>
    <n v="6.75"/>
    <n v="64.209999999999994"/>
    <n v="87.3"/>
    <n v="10"/>
    <n v="0.74"/>
    <s v="North Las Vegas"/>
    <s v="Yes"/>
    <s v="Stacked order looked good but added excessive miles."/>
    <x v="4"/>
  </r>
  <r>
    <d v="2025-11-30T00:00:00"/>
    <s v="Weekend Dinner"/>
    <d v="1899-12-30T17:30:00"/>
    <d v="1899-12-30T00:15:00"/>
    <n v="6.75"/>
    <n v="45.14"/>
    <n v="57.2"/>
    <n v="9"/>
    <n v="0.79"/>
    <s v="Green Valley"/>
    <s v="No"/>
    <s v="Stacked order looked good but added excessive miles."/>
    <x v="4"/>
  </r>
  <r>
    <d v="2025-12-02T00:00:00"/>
    <s v="Open Schedule"/>
    <d v="1899-12-30T15:00:00"/>
    <d v="1899-12-30T21:00:00"/>
    <n v="6"/>
    <n v="58.9"/>
    <n v="94.3"/>
    <n v="10"/>
    <n v="0.62"/>
    <s v="Henderson"/>
    <s v="No"/>
    <s v="Long shift with weak late-hour demand."/>
    <x v="5"/>
  </r>
  <r>
    <d v="2025-12-03T00:00:00"/>
    <s v="Open Schedule"/>
    <d v="1899-12-30T14:30:00"/>
    <d v="1899-12-30T20:30:00"/>
    <n v="6"/>
    <n v="52.21"/>
    <n v="63.8"/>
    <n v="9"/>
    <n v="0.82"/>
    <s v="Southwest"/>
    <s v="No"/>
    <s v="No firm minimum payout rule yet."/>
    <x v="6"/>
  </r>
  <r>
    <d v="2025-12-05T00:00:00"/>
    <s v="Peak Pay"/>
    <d v="1899-12-30T16:30:00"/>
    <d v="1899-12-30T22:00:00"/>
    <n v="5.5"/>
    <n v="52.13"/>
    <n v="52.2"/>
    <n v="8"/>
    <n v="1"/>
    <s v="Henderson"/>
    <s v="Yes"/>
    <s v="Chased a bonus outside the best zone."/>
    <x v="2"/>
  </r>
  <r>
    <d v="2025-12-06T00:00:00"/>
    <s v="Weekend Dinner"/>
    <d v="1899-12-30T17:30:00"/>
    <d v="1899-12-30T23:30:00"/>
    <n v="6"/>
    <n v="63.92"/>
    <n v="67.2"/>
    <n v="10"/>
    <n v="0.95"/>
    <s v="Summerlin"/>
    <s v="No"/>
    <s v="Waited too long at a slow merchant; low order turnover."/>
    <x v="3"/>
  </r>
  <r>
    <d v="2025-12-07T00:00:00"/>
    <s v="Peak Pay"/>
    <d v="1899-12-30T17:00:00"/>
    <d v="1899-12-30T22:30:00"/>
    <n v="5.5"/>
    <n v="57.07"/>
    <n v="59.9"/>
    <n v="9"/>
    <n v="0.95"/>
    <s v="North Las Vegas"/>
    <s v="Yes"/>
    <s v="Long shift with weak late-hour demand."/>
    <x v="4"/>
  </r>
  <r>
    <d v="2025-12-09T00:00:00"/>
    <s v="Dinner"/>
    <d v="1899-12-30T17:30:00"/>
    <d v="1899-12-30T23:30:00"/>
    <n v="6"/>
    <n v="53.45"/>
    <n v="61.2"/>
    <n v="9"/>
    <n v="0.87"/>
    <s v="Southwest"/>
    <s v="No"/>
    <s v="Waited too long at a slow merchant; low order turnover."/>
    <x v="5"/>
  </r>
  <r>
    <d v="2025-12-13T00:00:00"/>
    <s v="Weekend Dinner"/>
    <d v="1899-12-30T17:30:00"/>
    <d v="1899-12-30T00:15:00"/>
    <n v="6.75"/>
    <n v="50.43"/>
    <n v="79.5"/>
    <n v="8"/>
    <n v="0.63"/>
    <s v="Green Valley"/>
    <s v="No"/>
    <s v="Accepted most offers; several long-distance orders."/>
    <x v="3"/>
  </r>
  <r>
    <d v="2025-12-14T00:00:00"/>
    <s v="Open Schedule"/>
    <d v="1899-12-30T15:00:00"/>
    <d v="1899-12-30T20:15:00"/>
    <n v="5.25"/>
    <n v="32.409999999999997"/>
    <n v="41.4"/>
    <n v="6"/>
    <n v="0.78"/>
    <s v="Green Valley"/>
    <s v="No"/>
    <s v="No firm minimum payout rule yet."/>
    <x v="4"/>
  </r>
  <r>
    <d v="2025-12-19T00:00:00"/>
    <s v="Weekend Dinner"/>
    <d v="1899-12-30T16:30:00"/>
    <d v="1899-12-30T23:15:00"/>
    <n v="6.75"/>
    <n v="69.72"/>
    <n v="68.400000000000006"/>
    <n v="12"/>
    <n v="1.02"/>
    <s v="Green Valley"/>
    <s v="Yes"/>
    <s v="Stacked order looked good but added excessive miles."/>
    <x v="2"/>
  </r>
  <r>
    <d v="2025-12-20T00:00:00"/>
    <s v="Weekend Dinner"/>
    <d v="1899-12-30T18:00:00"/>
    <d v="1899-12-30T01:15:00"/>
    <n v="7.25"/>
    <n v="62.01"/>
    <n v="78.099999999999994"/>
    <n v="13"/>
    <n v="0.79"/>
    <s v="Summerlin"/>
    <s v="No"/>
    <s v="Chased a bonus outside the best zone."/>
    <x v="3"/>
  </r>
  <r>
    <d v="2025-12-21T00:00:00"/>
    <s v="Dinner"/>
    <d v="1899-12-30T17:00:00"/>
    <d v="1899-12-30T00:15:00"/>
    <n v="7.25"/>
    <n v="89.24"/>
    <n v="86.6"/>
    <n v="13"/>
    <n v="1.03"/>
    <s v="North Las Vegas"/>
    <s v="Yes"/>
    <s v="Stacked order looked good but added excessive miles."/>
    <x v="4"/>
  </r>
  <r>
    <d v="2025-12-27T00:00:00"/>
    <s v="Weekend Dinner"/>
    <d v="1899-12-30T18:00:00"/>
    <d v="1899-12-30T00:00:00"/>
    <n v="6"/>
    <n v="46.04"/>
    <n v="51.2"/>
    <n v="8"/>
    <n v="0.9"/>
    <s v="North Las Vegas"/>
    <s v="No"/>
    <s v="Chased a bonus outside the best zone."/>
    <x v="3"/>
  </r>
  <r>
    <d v="2025-12-28T00:00:00"/>
    <s v="Weekend Dinner"/>
    <d v="1899-12-30T17:30:00"/>
    <d v="1899-12-30T00:30:00"/>
    <n v="7"/>
    <n v="69.7"/>
    <n v="90.9"/>
    <n v="12"/>
    <n v="0.77"/>
    <s v="North Las Vegas"/>
    <s v="No"/>
    <s v="Long shift with weak late-hour demand."/>
    <x v="4"/>
  </r>
  <r>
    <d v="2025-12-30T00:00:00"/>
    <s v="Peak Pay"/>
    <d v="1899-12-30T17:00:00"/>
    <d v="1899-12-30T22:45:00"/>
    <n v="5.75"/>
    <n v="53.4"/>
    <n v="73.900000000000006"/>
    <n v="8"/>
    <n v="0.72"/>
    <s v="Green Valley"/>
    <s v="Yes"/>
    <s v="Waited too long at a slow merchant; low order turnover."/>
    <x v="5"/>
  </r>
  <r>
    <d v="2025-12-31T00:00:00"/>
    <s v="Dinner"/>
    <d v="1899-12-30T18:00:00"/>
    <d v="1899-12-30T00:00:00"/>
    <n v="6"/>
    <n v="46.67"/>
    <n v="58.5"/>
    <n v="8"/>
    <n v="0.8"/>
    <s v="North Las Vegas"/>
    <s v="No"/>
    <s v="Waited too long at a slow merchant; low order turnover."/>
    <x v="6"/>
  </r>
  <r>
    <d v="2026-01-03T00:00:00"/>
    <s v="Peak Pay"/>
    <d v="1899-12-30T18:00:00"/>
    <d v="1899-12-30T23:15:00"/>
    <n v="5.25"/>
    <n v="77.66"/>
    <n v="29.8"/>
    <n v="10"/>
    <n v="2.61"/>
    <s v="Henderson"/>
    <s v="Yes"/>
    <s v="Used $1.50/mile as a minimum screening rule."/>
    <x v="3"/>
  </r>
  <r>
    <d v="2026-01-04T00:00:00"/>
    <s v="Weekend Dinner"/>
    <d v="1899-12-30T17:00:00"/>
    <d v="1899-12-30T22:30:00"/>
    <n v="5.5"/>
    <n v="54.81"/>
    <n v="27.1"/>
    <n v="8"/>
    <n v="2.02"/>
    <s v="North Las Vegas"/>
    <s v="No"/>
    <s v="Ended shift earlier when hourly rate began falling."/>
    <x v="4"/>
  </r>
  <r>
    <d v="2026-01-08T00:00:00"/>
    <s v="Dinner"/>
    <d v="1899-12-30T17:30:00"/>
    <d v="1899-12-30T22:00:00"/>
    <n v="4.5"/>
    <n v="43.39"/>
    <n v="24"/>
    <n v="8"/>
    <n v="1.81"/>
    <s v="Henderson"/>
    <s v="No"/>
    <s v="Tested a preferred merchant list; fewer long waits."/>
    <x v="1"/>
  </r>
  <r>
    <d v="2026-01-09T00:00:00"/>
    <s v="Peak Pay"/>
    <d v="1899-12-30T16:30:00"/>
    <d v="1899-12-30T22:00:00"/>
    <n v="5.5"/>
    <n v="61.67"/>
    <n v="16.5"/>
    <n v="9"/>
    <n v="3.74"/>
    <s v="Southwest"/>
    <s v="Yes"/>
    <s v="Used $1.50/mile as a minimum screening rule."/>
    <x v="2"/>
  </r>
  <r>
    <d v="2026-01-11T00:00:00"/>
    <s v="Weekend Dinner"/>
    <d v="1899-12-30T16:30:00"/>
    <d v="1899-12-30T21:30:00"/>
    <n v="5"/>
    <n v="53.75"/>
    <n v="19.100000000000001"/>
    <n v="8"/>
    <n v="2.81"/>
    <s v="Henderson"/>
    <s v="No"/>
    <s v="Used $1.50/mile as a minimum screening rule."/>
    <x v="4"/>
  </r>
  <r>
    <d v="2026-01-15T00:00:00"/>
    <s v="Dinner"/>
    <d v="1899-12-30T16:00:00"/>
    <d v="1899-12-30T20:45:00"/>
    <n v="4.75"/>
    <n v="61.97"/>
    <n v="24.8"/>
    <n v="9"/>
    <n v="2.5"/>
    <s v="Henderson"/>
    <s v="No"/>
    <s v="Started declining offers below $7 unless mileage was very low."/>
    <x v="1"/>
  </r>
  <r>
    <d v="2026-01-24T00:00:00"/>
    <s v="Dinner"/>
    <d v="1899-12-30T17:00:00"/>
    <d v="1899-12-30T22:30:00"/>
    <n v="5.5"/>
    <n v="81.02"/>
    <n v="27.1"/>
    <n v="11"/>
    <n v="2.99"/>
    <s v="Green Valley"/>
    <s v="No"/>
    <s v="Ended shift earlier when hourly rate began falling."/>
    <x v="3"/>
  </r>
  <r>
    <d v="2026-01-25T00:00:00"/>
    <s v="Peak Pay"/>
    <d v="1899-12-30T17:00:00"/>
    <d v="1899-12-30T23:00:00"/>
    <n v="6"/>
    <n v="65.27"/>
    <n v="26.2"/>
    <n v="10"/>
    <n v="2.4900000000000002"/>
    <s v="Green Valley"/>
    <s v="Yes"/>
    <s v="Ended shift earlier when hourly rate began falling."/>
    <x v="4"/>
  </r>
  <r>
    <d v="2026-01-30T00:00:00"/>
    <s v="Dinner"/>
    <d v="1899-12-30T16:30:00"/>
    <d v="1899-12-30T21:45:00"/>
    <n v="5.25"/>
    <n v="69.89"/>
    <n v="21"/>
    <n v="10"/>
    <n v="3.33"/>
    <s v="Henderson"/>
    <s v="No"/>
    <s v="Tracked estimated completion time before accepting."/>
    <x v="2"/>
  </r>
  <r>
    <d v="2026-01-31T00:00:00"/>
    <s v="Weekend Dinner"/>
    <d v="1899-12-30T17:00:00"/>
    <d v="1899-12-30T21:45:00"/>
    <n v="4.75"/>
    <n v="60.98"/>
    <n v="20.399999999999999"/>
    <n v="9"/>
    <n v="2.99"/>
    <s v="Henderson"/>
    <s v="No"/>
    <s v="Tested a preferred merchant list; fewer long waits."/>
    <x v="3"/>
  </r>
  <r>
    <d v="2026-02-06T00:00:00"/>
    <s v="Dinner"/>
    <d v="1899-12-30T16:30:00"/>
    <d v="1899-12-30T22:00:00"/>
    <n v="5.5"/>
    <n v="60.14"/>
    <n v="17.2"/>
    <n v="8"/>
    <n v="3.5"/>
    <s v="Green Valley"/>
    <s v="No"/>
    <s v="Moved back to a stronger zone after demand slowed."/>
    <x v="2"/>
  </r>
  <r>
    <d v="2026-02-07T00:00:00"/>
    <s v="Peak Pay"/>
    <d v="1899-12-30T17:30:00"/>
    <d v="1899-12-30T23:15:00"/>
    <n v="5.75"/>
    <n v="75.569999999999993"/>
    <n v="27.6"/>
    <n v="9"/>
    <n v="2.74"/>
    <s v="North Las Vegas"/>
    <s v="Yes"/>
    <s v="Started declining offers below $7 unless mileage was very low."/>
    <x v="3"/>
  </r>
  <r>
    <d v="2026-02-08T00:00:00"/>
    <s v="Weekend Dinner"/>
    <d v="1899-12-30T18:00:00"/>
    <d v="1899-12-30T22:45:00"/>
    <n v="4.75"/>
    <n v="69.27"/>
    <n v="24.2"/>
    <n v="9"/>
    <n v="2.86"/>
    <s v="Southwest"/>
    <s v="No"/>
    <s v="Moved back to a stronger zone after demand slowed."/>
    <x v="4"/>
  </r>
  <r>
    <d v="2026-02-09T00:00:00"/>
    <s v="Peak Pay"/>
    <d v="1899-12-30T17:30:00"/>
    <d v="1899-12-30T22:45:00"/>
    <n v="5.25"/>
    <n v="81.11"/>
    <n v="27.2"/>
    <n v="9"/>
    <n v="2.98"/>
    <s v="Henderson"/>
    <s v="Yes"/>
    <s v="Tracked estimated completion time before accepting."/>
    <x v="0"/>
  </r>
  <r>
    <d v="2026-02-11T00:00:00"/>
    <s v="Lunch"/>
    <d v="1899-12-30T11:15:00"/>
    <d v="1899-12-30T17:30:00"/>
    <n v="6.25"/>
    <n v="54.62"/>
    <n v="23.8"/>
    <n v="8"/>
    <n v="2.29"/>
    <s v="Henderson"/>
    <s v="No"/>
    <s v="Used $1.50/mile as a minimum screening rule."/>
    <x v="6"/>
  </r>
  <r>
    <d v="2026-02-13T00:00:00"/>
    <s v="Peak Pay"/>
    <d v="1899-12-30T16:30:00"/>
    <d v="1899-12-30T22:15:00"/>
    <n v="5.75"/>
    <n v="83.89"/>
    <n v="34.700000000000003"/>
    <n v="12"/>
    <n v="2.42"/>
    <s v="Henderson"/>
    <s v="Yes"/>
    <s v="Started declining offers below $7 unless mileage was very low."/>
    <x v="2"/>
  </r>
  <r>
    <d v="2026-02-15T00:00:00"/>
    <s v="Weekend Dinner"/>
    <d v="1899-12-30T17:00:00"/>
    <d v="1899-12-30T22:30:00"/>
    <n v="5.5"/>
    <n v="54.79"/>
    <n v="26.8"/>
    <n v="7"/>
    <n v="2.04"/>
    <s v="North Las Vegas"/>
    <s v="Yes"/>
    <s v="Used $1.50/mile as a minimum screening rule."/>
    <x v="4"/>
  </r>
  <r>
    <d v="2026-02-20T00:00:00"/>
    <s v="Dinner"/>
    <d v="1899-12-30T18:00:00"/>
    <d v="1899-12-30T23:15:00"/>
    <n v="5.25"/>
    <n v="78.959999999999994"/>
    <n v="30"/>
    <n v="11"/>
    <n v="2.63"/>
    <s v="Henderson"/>
    <s v="No"/>
    <s v="Ended shift earlier when hourly rate began falling."/>
    <x v="2"/>
  </r>
  <r>
    <d v="2026-02-21T00:00:00"/>
    <s v="Dinner"/>
    <d v="1899-12-30T16:30:00"/>
    <d v="1899-12-30T20:45:00"/>
    <n v="4.25"/>
    <n v="53.39"/>
    <n v="20.3"/>
    <n v="7"/>
    <n v="2.63"/>
    <s v="Green Valley"/>
    <s v="Yes"/>
    <s v="Started declining offers below $7 unless mileage was very low."/>
    <x v="3"/>
  </r>
  <r>
    <d v="2026-02-23T00:00:00"/>
    <s v="Lunch"/>
    <d v="1899-12-30T11:00:00"/>
    <d v="1899-12-30T16:00:00"/>
    <n v="5"/>
    <n v="58.59"/>
    <n v="18.7"/>
    <n v="8"/>
    <n v="3.13"/>
    <s v="Green Valley"/>
    <s v="Yes"/>
    <s v="Ended shift earlier when hourly rate began falling."/>
    <x v="0"/>
  </r>
  <r>
    <d v="2026-02-27T00:00:00"/>
    <s v="Weekend Dinner"/>
    <d v="1899-12-30T16:00:00"/>
    <d v="1899-12-30T21:30:00"/>
    <n v="5.5"/>
    <n v="49.03"/>
    <n v="21.2"/>
    <n v="8"/>
    <n v="2.31"/>
    <s v="Green Valley"/>
    <s v="No"/>
    <s v="Tracked estimated completion time before accepting."/>
    <x v="2"/>
  </r>
  <r>
    <d v="2026-03-01T00:00:00"/>
    <s v="Weekend Dinner"/>
    <d v="1899-12-30T18:00:00"/>
    <d v="1899-12-30T23:45:00"/>
    <n v="5.75"/>
    <n v="71.34"/>
    <n v="26.1"/>
    <n v="11"/>
    <n v="2.73"/>
    <s v="Henderson"/>
    <s v="No"/>
    <s v="Moved back to a stronger zone after demand slowed."/>
    <x v="4"/>
  </r>
  <r>
    <d v="2026-03-05T00:00:00"/>
    <s v="Lunch"/>
    <d v="1899-12-30T10:45:00"/>
    <d v="1899-12-30T15:15:00"/>
    <n v="4.5"/>
    <n v="60.07"/>
    <n v="27.5"/>
    <n v="9"/>
    <n v="2.1800000000000002"/>
    <s v="Southwest"/>
    <s v="No"/>
    <s v="Used $1.50/mile as a minimum screening rule."/>
    <x v="1"/>
  </r>
  <r>
    <d v="2026-03-06T00:00:00"/>
    <s v="Peak Pay"/>
    <d v="1899-12-30T17:00:00"/>
    <d v="1899-12-30T22:15:00"/>
    <n v="5.25"/>
    <n v="70.239999999999995"/>
    <n v="31"/>
    <n v="11"/>
    <n v="2.27"/>
    <s v="Summerlin"/>
    <s v="Yes"/>
    <s v="Started declining offers below $7 unless mileage was very low."/>
    <x v="2"/>
  </r>
  <r>
    <d v="2026-03-07T00:00:00"/>
    <s v="Weekend Dinner"/>
    <d v="1899-12-30T16:00:00"/>
    <d v="1899-12-30T20:30:00"/>
    <n v="4.5"/>
    <n v="48.32"/>
    <n v="22.3"/>
    <n v="7"/>
    <n v="2.17"/>
    <s v="Green Valley"/>
    <s v="No"/>
    <s v="Moved back to a stronger zone after demand slowed."/>
    <x v="3"/>
  </r>
  <r>
    <d v="2026-03-08T00:00:00"/>
    <s v="Dinner"/>
    <d v="1899-12-30T16:30:00"/>
    <d v="1899-12-30T21:45:00"/>
    <n v="5.25"/>
    <n v="81.709999999999994"/>
    <n v="29"/>
    <n v="11"/>
    <n v="2.82"/>
    <s v="Henderson"/>
    <s v="No"/>
    <s v="Tested a preferred merchant list; fewer long waits."/>
    <x v="4"/>
  </r>
  <r>
    <d v="2026-03-11T00:00:00"/>
    <s v="Dinner"/>
    <d v="1899-12-30T18:00:00"/>
    <d v="1899-12-30T00:00:00"/>
    <n v="6"/>
    <n v="65.03"/>
    <n v="21.2"/>
    <n v="10"/>
    <n v="3.07"/>
    <s v="Green Valley"/>
    <s v="No"/>
    <s v="Started declining offers below $7 unless mileage was very low."/>
    <x v="6"/>
  </r>
  <r>
    <d v="2026-03-13T00:00:00"/>
    <s v="Weekend Dinner"/>
    <d v="1899-12-30T17:30:00"/>
    <d v="1899-12-30T21:45:00"/>
    <n v="4.25"/>
    <n v="72.47"/>
    <n v="15.7"/>
    <n v="9"/>
    <n v="4.62"/>
    <s v="Green Valley"/>
    <s v="Yes"/>
    <s v="Prioritized reliable merchants with fast pickup times."/>
    <x v="2"/>
  </r>
  <r>
    <d v="2026-03-14T00:00:00"/>
    <s v="Peak Pay"/>
    <d v="1899-12-30T17:00:00"/>
    <d v="1899-12-30T20:30:00"/>
    <n v="3.5"/>
    <n v="51.83"/>
    <n v="13.4"/>
    <n v="7"/>
    <n v="3.87"/>
    <s v="Green Valley"/>
    <s v="Yes"/>
    <s v="Used estimated time per order to protect hourly earnings."/>
    <x v="3"/>
  </r>
  <r>
    <d v="2026-03-15T00:00:00"/>
    <s v="Peak Pay"/>
    <d v="1899-12-30T17:00:00"/>
    <d v="1899-12-30T21:45:00"/>
    <n v="4.75"/>
    <n v="84.44"/>
    <n v="20.100000000000001"/>
    <n v="10"/>
    <n v="4.2"/>
    <s v="Henderson"/>
    <s v="Yes"/>
    <s v="Prioritized reliable merchants with fast pickup times."/>
    <x v="4"/>
  </r>
  <r>
    <d v="2026-03-19T00:00:00"/>
    <s v="Dinner"/>
    <d v="1899-12-30T16:30:00"/>
    <d v="1899-12-30T20:00:00"/>
    <n v="3.5"/>
    <n v="55.45"/>
    <n v="13.6"/>
    <n v="7"/>
    <n v="4.08"/>
    <s v="Green Valley"/>
    <s v="Yes"/>
    <s v="Applied $7+ order and $2/mile targets consistently."/>
    <x v="1"/>
  </r>
  <r>
    <d v="2026-03-20T00:00:00"/>
    <s v="Dinner"/>
    <d v="1899-12-30T16:00:00"/>
    <d v="1899-12-30T20:00:00"/>
    <n v="4"/>
    <n v="79.94"/>
    <n v="14.8"/>
    <n v="9"/>
    <n v="5.4"/>
    <s v="Summerlin"/>
    <s v="Yes"/>
    <s v="Used estimated time per order to protect hourly earnings."/>
    <x v="2"/>
  </r>
  <r>
    <d v="2026-03-21T00:00:00"/>
    <s v="Dinner"/>
    <d v="1899-12-30T18:00:00"/>
    <d v="1899-12-30T22:00:00"/>
    <n v="4"/>
    <n v="74.349999999999994"/>
    <n v="23"/>
    <n v="9"/>
    <n v="3.23"/>
    <s v="Southwest"/>
    <s v="No"/>
    <s v="Worked only the strongest dinner window."/>
    <x v="3"/>
  </r>
  <r>
    <d v="2026-03-22T00:00:00"/>
    <s v="Weekend Dinner"/>
    <d v="1899-12-30T17:30:00"/>
    <d v="1899-12-30T20:45:00"/>
    <n v="3.25"/>
    <n v="58.46"/>
    <n v="18.2"/>
    <n v="7"/>
    <n v="3.21"/>
    <s v="Henderson"/>
    <s v="Yes"/>
    <s v="Declined orders with poor return-mile potential."/>
    <x v="4"/>
  </r>
  <r>
    <d v="2026-03-26T00:00:00"/>
    <s v="Peak Pay"/>
    <d v="1899-12-30T16:00:00"/>
    <d v="1899-12-30T19:00:00"/>
    <n v="3"/>
    <n v="42.95"/>
    <n v="12.9"/>
    <n v="5"/>
    <n v="3.33"/>
    <s v="Southwest"/>
    <s v="Yes"/>
    <s v="Prioritized reliable merchants with fast pickup times."/>
    <x v="1"/>
  </r>
  <r>
    <d v="2026-03-27T00:00:00"/>
    <s v="Weekend Dinner"/>
    <d v="1899-12-30T18:00:00"/>
    <d v="1899-12-30T22:45:00"/>
    <n v="4.75"/>
    <n v="67.78"/>
    <n v="15.3"/>
    <n v="9"/>
    <n v="4.43"/>
    <s v="Henderson"/>
    <s v="No"/>
    <s v="Worked only the strongest dinner window."/>
    <x v="2"/>
  </r>
  <r>
    <d v="2026-03-28T00:00:00"/>
    <s v="Weekend Dinner"/>
    <d v="1899-12-30T16:30:00"/>
    <d v="1899-12-30T21:15:00"/>
    <n v="4.75"/>
    <n v="84.8"/>
    <n v="22.4"/>
    <n v="10"/>
    <n v="3.79"/>
    <s v="Green Valley"/>
    <s v="No"/>
    <s v="Worked only the strongest dinner window."/>
    <x v="3"/>
  </r>
  <r>
    <d v="2026-03-29T00:00:00"/>
    <s v="Dinner"/>
    <d v="1899-12-30T18:00:00"/>
    <d v="1899-12-30T22:00:00"/>
    <n v="4"/>
    <n v="68.92"/>
    <n v="12.9"/>
    <n v="8"/>
    <n v="5.34"/>
    <s v="Green Valley"/>
    <s v="Yes"/>
    <s v="Applied $7+ order and $2/mile targets consistently."/>
    <x v="4"/>
  </r>
  <r>
    <d v="2026-04-05T00:00:00"/>
    <s v="Weekend Dinner"/>
    <d v="1899-12-30T18:00:00"/>
    <d v="1899-12-30T21:30:00"/>
    <n v="3.5"/>
    <n v="62.56"/>
    <n v="15.8"/>
    <n v="8"/>
    <n v="3.96"/>
    <s v="Southwest"/>
    <s v="No"/>
    <s v="Applied $7+ order and $2/mile targets consistently."/>
    <x v="4"/>
  </r>
  <r>
    <d v="2026-04-09T00:00:00"/>
    <s v="Dinner"/>
    <d v="1899-12-30T16:00:00"/>
    <d v="1899-12-30T19:30:00"/>
    <n v="3.5"/>
    <n v="41.87"/>
    <n v="12.9"/>
    <n v="6"/>
    <n v="3.25"/>
    <s v="Summerlin"/>
    <s v="No"/>
    <s v="Prioritized reliable merchants with fast pickup times."/>
    <x v="1"/>
  </r>
  <r>
    <d v="2026-04-11T00:00:00"/>
    <s v="Weekend Dinner"/>
    <d v="1899-12-30T18:00:00"/>
    <d v="1899-12-30T21:45:00"/>
    <n v="3.75"/>
    <n v="58.55"/>
    <n v="16.399999999999999"/>
    <n v="8"/>
    <n v="3.57"/>
    <s v="Henderson"/>
    <s v="No"/>
    <s v="Used estimated time per order to protect hourly earnings."/>
    <x v="3"/>
  </r>
  <r>
    <d v="2026-04-14T00:00:00"/>
    <s v="Targeted Sprint"/>
    <d v="1899-12-30T17:00:00"/>
    <d v="1899-12-30T21:15:00"/>
    <n v="4.25"/>
    <n v="59.95"/>
    <n v="17.100000000000001"/>
    <n v="8"/>
    <n v="3.51"/>
    <s v="Green Valley"/>
    <s v="No"/>
    <s v="Used estimated time per order to protect hourly earnings."/>
    <x v="5"/>
  </r>
  <r>
    <d v="2026-04-15T00:00:00"/>
    <s v="Dinner"/>
    <d v="1899-12-30T18:00:00"/>
    <d v="1899-12-30T22:15:00"/>
    <n v="4.25"/>
    <n v="63.86"/>
    <n v="16.7"/>
    <n v="9"/>
    <n v="3.82"/>
    <s v="Green Valley"/>
    <s v="No"/>
    <s v="Used estimated time per order to protect hourly earnings."/>
    <x v="6"/>
  </r>
  <r>
    <d v="2026-04-17T00:00:00"/>
    <s v="Dinner"/>
    <d v="1899-12-30T16:30:00"/>
    <d v="1899-12-30T21:30:00"/>
    <n v="5"/>
    <n v="78.84"/>
    <n v="27.5"/>
    <n v="11"/>
    <n v="2.87"/>
    <s v="North Las Vegas"/>
    <s v="No"/>
    <s v="Applied $7+ order and $2/mile targets consistently."/>
    <x v="2"/>
  </r>
  <r>
    <d v="2026-04-18T00:00:00"/>
    <s v="Weekend Dinner"/>
    <d v="1899-12-30T16:00:00"/>
    <d v="1899-12-30T19:45:00"/>
    <n v="3.75"/>
    <n v="67.739999999999995"/>
    <n v="15.9"/>
    <n v="8"/>
    <n v="4.26"/>
    <s v="Henderson"/>
    <s v="No"/>
    <s v="Worked only the strongest dinner window."/>
    <x v="3"/>
  </r>
  <r>
    <d v="2026-04-19T00:00:00"/>
    <s v="Peak Pay"/>
    <d v="1899-12-30T17:00:00"/>
    <d v="1899-12-30T21:45:00"/>
    <n v="4.75"/>
    <n v="80.13"/>
    <n v="25.9"/>
    <n v="9"/>
    <n v="3.09"/>
    <s v="Summerlin"/>
    <s v="Yes"/>
    <s v="Worked only the strongest dinner window."/>
    <x v="4"/>
  </r>
  <r>
    <d v="2026-04-20T00:00:00"/>
    <s v="Lunch"/>
    <d v="1899-12-30T11:15:00"/>
    <d v="1899-12-30T15:45:00"/>
    <n v="4.5"/>
    <n v="80.78"/>
    <n v="17.899999999999999"/>
    <n v="9"/>
    <n v="4.51"/>
    <s v="Henderson"/>
    <s v="No"/>
    <s v="Avoided low-value stacks and apartment-heavy routes."/>
    <x v="0"/>
  </r>
  <r>
    <d v="2026-04-22T00:00:00"/>
    <s v="Lunch"/>
    <d v="1899-12-30T11:15:00"/>
    <d v="1899-12-30T15:00:00"/>
    <n v="3.75"/>
    <n v="59.07"/>
    <n v="12.3"/>
    <n v="7"/>
    <n v="4.8"/>
    <s v="Southwest"/>
    <s v="No"/>
    <s v="Worked only the strongest dinner window."/>
    <x v="6"/>
  </r>
  <r>
    <d v="2026-04-23T00:00:00"/>
    <s v="Targeted Sprint"/>
    <d v="1899-12-30T17:00:00"/>
    <d v="1899-12-30T21:30:00"/>
    <n v="4.5"/>
    <n v="53.3"/>
    <n v="21.6"/>
    <n v="8"/>
    <n v="2.4700000000000002"/>
    <s v="Henderson"/>
    <s v="No"/>
    <s v="Declined orders with poor return-mile potential."/>
    <x v="1"/>
  </r>
  <r>
    <d v="2026-04-24T00:00:00"/>
    <s v="Weekend Dinner"/>
    <d v="1899-12-30T16:00:00"/>
    <d v="1899-12-30T20:15:00"/>
    <n v="4.25"/>
    <n v="60.94"/>
    <n v="17"/>
    <n v="8"/>
    <n v="3.58"/>
    <s v="Green Valley"/>
    <s v="No"/>
    <s v="Avoided low-value stacks and apartment-heavy routes."/>
    <x v="2"/>
  </r>
  <r>
    <d v="2026-04-26T00:00:00"/>
    <s v="Weekend Dinner"/>
    <d v="1899-12-30T18:00:00"/>
    <d v="1899-12-30T22:15:00"/>
    <n v="4.25"/>
    <n v="84.67"/>
    <n v="15.1"/>
    <n v="10"/>
    <n v="5.61"/>
    <s v="Henderson"/>
    <s v="No"/>
    <s v="Prioritized reliable merchants with fast pickup times."/>
    <x v="4"/>
  </r>
  <r>
    <d v="2026-04-29T00:00:00"/>
    <s v="Lunch"/>
    <d v="1899-12-30T11:00:00"/>
    <d v="1899-12-30T15:30:00"/>
    <n v="4.5"/>
    <n v="62.14"/>
    <n v="23.9"/>
    <n v="9"/>
    <n v="2.6"/>
    <s v="Green Valley"/>
    <s v="Yes"/>
    <s v="Prioritized reliable merchants with fast pickup times."/>
    <x v="6"/>
  </r>
  <r>
    <d v="2026-04-30T00:00:00"/>
    <s v="Dinner"/>
    <d v="1899-12-30T18:00:00"/>
    <d v="1899-12-30T23:15:00"/>
    <n v="5.25"/>
    <n v="79.03"/>
    <n v="13.7"/>
    <n v="10"/>
    <n v="5.77"/>
    <s v="Green Valley"/>
    <s v="No"/>
    <s v="Prioritized reliable merchants with fast pickup times."/>
    <x v="1"/>
  </r>
  <r>
    <d v="2026-05-01T00:00:00"/>
    <s v="Dinner"/>
    <d v="1899-12-30T16:00:00"/>
    <d v="1899-12-30T20:00:00"/>
    <n v="4"/>
    <n v="57.61"/>
    <n v="15.6"/>
    <n v="8"/>
    <n v="3.69"/>
    <s v="Henderson"/>
    <s v="No"/>
    <s v="Worked only the strongest dinner window."/>
    <x v="2"/>
  </r>
  <r>
    <d v="2026-05-02T00:00:00"/>
    <s v="Weekend Dinner"/>
    <d v="1899-12-30T16:30:00"/>
    <d v="1899-12-30T20:15:00"/>
    <n v="3.75"/>
    <n v="59.67"/>
    <n v="12.3"/>
    <n v="8"/>
    <n v="4.8499999999999996"/>
    <s v="Henderson"/>
    <s v="No"/>
    <s v="Avoided low-value stacks and apartment-heavy routes."/>
    <x v="3"/>
  </r>
  <r>
    <d v="2026-05-03T00:00:00"/>
    <s v="Dinner"/>
    <d v="1899-12-30T17:30:00"/>
    <d v="1899-12-30T21:00:00"/>
    <n v="3.5"/>
    <n v="64.709999999999994"/>
    <n v="12.8"/>
    <n v="7"/>
    <n v="5.0599999999999996"/>
    <s v="Southwest"/>
    <s v="Yes"/>
    <s v="Prioritized reliable merchants with fast pickup times."/>
    <x v="4"/>
  </r>
  <r>
    <d v="2026-05-06T00:00:00"/>
    <s v="Lunch"/>
    <d v="1899-12-30T11:15:00"/>
    <d v="1899-12-30T14:45:00"/>
    <n v="3.5"/>
    <n v="63.18"/>
    <n v="13.8"/>
    <n v="8"/>
    <n v="4.58"/>
    <s v="Henderson"/>
    <s v="No"/>
    <s v="Declined orders with poor return-mile potential."/>
    <x v="6"/>
  </r>
  <r>
    <d v="2026-05-08T00:00:00"/>
    <s v="Weekend Dinner"/>
    <d v="1899-12-30T16:00:00"/>
    <d v="1899-12-30T20:15:00"/>
    <n v="4.25"/>
    <n v="80.13"/>
    <n v="23.1"/>
    <n v="10"/>
    <n v="3.47"/>
    <s v="Southwest"/>
    <s v="No"/>
    <s v="Prioritized reliable merchants with fast pickup times."/>
    <x v="2"/>
  </r>
  <r>
    <d v="2026-05-09T00:00:00"/>
    <s v="Weekend Dinner"/>
    <d v="1899-12-30T16:30:00"/>
    <d v="1899-12-30T21:00:00"/>
    <n v="4.5"/>
    <n v="86.23"/>
    <n v="16.8"/>
    <n v="10"/>
    <n v="5.13"/>
    <s v="Southwest"/>
    <s v="No"/>
    <s v="Prioritized reliable merchants with fast pickup times."/>
    <x v="3"/>
  </r>
  <r>
    <d v="2026-05-14T00:00:00"/>
    <s v="Targeted Sprint"/>
    <d v="1899-12-30T16:00:00"/>
    <d v="1899-12-30T20:45:00"/>
    <n v="4.75"/>
    <n v="65.739999999999995"/>
    <n v="22"/>
    <n v="10"/>
    <n v="2.99"/>
    <s v="Henderson"/>
    <s v="No"/>
    <s v="Prioritized reliable merchants with fast pickup times."/>
    <x v="1"/>
  </r>
  <r>
    <d v="2026-05-15T00:00:00"/>
    <s v="Dinner"/>
    <d v="1899-12-30T18:00:00"/>
    <d v="1899-12-30T23:00:00"/>
    <n v="5"/>
    <n v="91.43"/>
    <n v="18.8"/>
    <n v="12"/>
    <n v="4.8600000000000003"/>
    <s v="Summerlin"/>
    <s v="No"/>
    <s v="Declined orders with poor return-mile potential."/>
    <x v="2"/>
  </r>
  <r>
    <d v="2026-05-21T00:00:00"/>
    <s v="Peak Pay"/>
    <d v="1899-12-30T17:30:00"/>
    <d v="1899-12-30T21:30:00"/>
    <n v="4"/>
    <n v="85.35"/>
    <n v="14.1"/>
    <n v="9"/>
    <n v="6.05"/>
    <s v="Summerlin"/>
    <s v="Yes"/>
    <s v="Accepted only offers meeting payout, mileage, and time criteria."/>
    <x v="1"/>
  </r>
  <r>
    <d v="2026-05-22T00:00:00"/>
    <s v="Targeted Sprint"/>
    <d v="1899-12-30T16:30:00"/>
    <d v="1899-12-30T20:00:00"/>
    <n v="3.5"/>
    <n v="69.2"/>
    <n v="16.7"/>
    <n v="8"/>
    <n v="4.1399999999999997"/>
    <s v="Henderson"/>
    <s v="No"/>
    <s v="Maintained $7+ order floor with limited strategic exceptions."/>
    <x v="2"/>
  </r>
  <r>
    <d v="2026-05-24T00:00:00"/>
    <s v="Peak Pay"/>
    <d v="1899-12-30T17:30:00"/>
    <d v="1899-12-30T21:15:00"/>
    <n v="3.75"/>
    <n v="85.23"/>
    <n v="11.3"/>
    <n v="10"/>
    <n v="7.54"/>
    <s v="Summerlin"/>
    <s v="Yes"/>
    <s v="Strong zone positioning reduced idle time and dead miles."/>
    <x v="4"/>
  </r>
  <r>
    <d v="2026-05-26T00:00:00"/>
    <s v="Dinner"/>
    <d v="1899-12-30T17:30:00"/>
    <d v="1899-12-30T21:30:00"/>
    <n v="4"/>
    <n v="73.05"/>
    <n v="15.5"/>
    <n v="9"/>
    <n v="4.71"/>
    <s v="Henderson"/>
    <s v="Yes"/>
    <s v="Targeted high-volume merchants and ended after the dinner peak."/>
    <x v="5"/>
  </r>
  <r>
    <d v="2026-05-28T00:00:00"/>
    <s v="Lunch"/>
    <d v="1899-12-30T11:30:00"/>
    <d v="1899-12-30T14:45:00"/>
    <n v="3.25"/>
    <n v="69.63"/>
    <n v="12.5"/>
    <n v="7"/>
    <n v="5.57"/>
    <s v="Henderson"/>
    <s v="No"/>
    <s v="Maintained $7+ order floor with limited strategic exceptions."/>
    <x v="1"/>
  </r>
  <r>
    <d v="2026-05-30T00:00:00"/>
    <s v="Peak Pay"/>
    <d v="1899-12-30T17:00:00"/>
    <d v="1899-12-30T20:15:00"/>
    <n v="3.25"/>
    <n v="59.36"/>
    <n v="12.2"/>
    <n v="6"/>
    <n v="4.87"/>
    <s v="Green Valley"/>
    <s v="Yes"/>
    <s v="Stopped when order quality dropped instead of extending the shift."/>
    <x v="3"/>
  </r>
  <r>
    <d v="2026-05-31T00:00:00"/>
    <s v="Weekend Dinner"/>
    <d v="1899-12-30T16:00:00"/>
    <d v="1899-12-30T18:45:00"/>
    <n v="2.75"/>
    <n v="51.33"/>
    <n v="14.1"/>
    <n v="5"/>
    <n v="3.64"/>
    <s v="North Las Vegas"/>
    <s v="Yes"/>
    <s v="Strong zone positioning reduced idle time and dead miles."/>
    <x v="4"/>
  </r>
  <r>
    <d v="2026-06-03T00:00:00"/>
    <s v="Peak Pay"/>
    <d v="1899-12-30T16:30:00"/>
    <d v="1899-12-30T20:15:00"/>
    <n v="3.75"/>
    <n v="75.55"/>
    <n v="11.5"/>
    <n v="8"/>
    <n v="6.57"/>
    <s v="Green Valley"/>
    <s v="Yes"/>
    <s v="Accepted only offers meeting payout, mileage, and time criteria."/>
    <x v="6"/>
  </r>
  <r>
    <d v="2026-06-07T00:00:00"/>
    <s v="Dinner"/>
    <d v="1899-12-30T16:30:00"/>
    <d v="1899-12-30T19:45:00"/>
    <n v="3.25"/>
    <n v="63.42"/>
    <n v="8"/>
    <n v="6"/>
    <n v="7.93"/>
    <s v="Henderson"/>
    <s v="No"/>
    <s v="Targeted high-volume merchants and ended after the dinner peak."/>
    <x v="4"/>
  </r>
  <r>
    <d v="2026-06-10T00:00:00"/>
    <s v="Targeted Sprint"/>
    <d v="1899-12-30T16:30:00"/>
    <d v="1899-12-30T19:15:00"/>
    <n v="2.75"/>
    <n v="53.76"/>
    <n v="8"/>
    <n v="6"/>
    <n v="6.72"/>
    <s v="Summerlin"/>
    <s v="No"/>
    <s v="Strong zone positioning reduced idle time and dead miles."/>
    <x v="6"/>
  </r>
  <r>
    <d v="2026-06-12T00:00:00"/>
    <s v="Peak Pay"/>
    <d v="1899-12-30T17:30:00"/>
    <d v="1899-12-30T21:00:00"/>
    <n v="3.5"/>
    <n v="62.3"/>
    <n v="19.899999999999999"/>
    <n v="7"/>
    <n v="3.13"/>
    <s v="North Las Vegas"/>
    <s v="Yes"/>
    <s v="Short, focused shift produced better earnings than older long shifts."/>
    <x v="2"/>
  </r>
  <r>
    <d v="2026-06-14T00:00:00"/>
    <s v="Weekend Dinner"/>
    <d v="1899-12-30T16:30:00"/>
    <d v="1899-12-30T20:30:00"/>
    <n v="4"/>
    <n v="76.13"/>
    <n v="13.2"/>
    <n v="7"/>
    <n v="5.77"/>
    <s v="Green Valley"/>
    <s v="No"/>
    <s v="Short, focused shift produced better earnings than older long shifts."/>
    <x v="4"/>
  </r>
  <r>
    <d v="2026-06-16T00:00:00"/>
    <s v="Targeted Sprint"/>
    <d v="1899-12-30T16:00:00"/>
    <d v="1899-12-30T20:45:00"/>
    <n v="4.75"/>
    <n v="86.36"/>
    <n v="18.399999999999999"/>
    <n v="9"/>
    <n v="4.6900000000000004"/>
    <s v="Southwest"/>
    <s v="No"/>
    <s v="Stopped when order quality dropped instead of extending the shift."/>
    <x v="5"/>
  </r>
  <r>
    <d v="2026-06-19T00:00:00"/>
    <s v="Weekend Dinner"/>
    <d v="1899-12-30T16:30:00"/>
    <d v="1899-12-30T20:45:00"/>
    <n v="4.25"/>
    <n v="93.5"/>
    <n v="16.3"/>
    <n v="9"/>
    <n v="5.74"/>
    <s v="Henderson"/>
    <s v="Yes"/>
    <s v="Targeted high-volume merchants and ended after the dinner peak."/>
    <x v="2"/>
  </r>
  <r>
    <d v="2026-06-20T00:00:00"/>
    <s v="Dinner"/>
    <d v="1899-12-30T17:00:00"/>
    <d v="1899-12-30T20:15:00"/>
    <n v="3.25"/>
    <n v="68.41"/>
    <n v="8"/>
    <n v="7"/>
    <n v="8.5500000000000007"/>
    <s v="Henderson"/>
    <s v="No"/>
    <s v="Targeted high-volume merchants and ended after the dinner peak."/>
    <x v="3"/>
  </r>
  <r>
    <d v="2026-06-21T00:00:00"/>
    <s v="Weekend Dinner"/>
    <d v="1899-12-30T18:00:00"/>
    <d v="1899-12-30T22:30:00"/>
    <n v="4.5"/>
    <n v="90.49"/>
    <n v="11"/>
    <n v="9"/>
    <n v="8.23"/>
    <s v="Henderson"/>
    <s v="Yes"/>
    <s v="Maintained $7+ order floor with limited strategic exceptions."/>
    <x v="4"/>
  </r>
  <r>
    <d v="2026-06-25T00:00:00"/>
    <s v="Dinner"/>
    <d v="1899-12-30T16:30:00"/>
    <d v="1899-12-30T20:15:00"/>
    <n v="3.75"/>
    <n v="65.010000000000005"/>
    <n v="9.3000000000000007"/>
    <n v="8"/>
    <n v="6.99"/>
    <s v="Henderson"/>
    <s v="No"/>
    <s v="Maintained $7+ order floor with limited strategic exceptions."/>
    <x v="1"/>
  </r>
  <r>
    <d v="2026-06-26T00:00:00"/>
    <s v="Peak Pay"/>
    <d v="1899-12-30T16:30:00"/>
    <d v="1899-12-30T19:15:00"/>
    <n v="2.75"/>
    <n v="54.64"/>
    <n v="10.7"/>
    <n v="6"/>
    <n v="5.1100000000000003"/>
    <s v="Henderson"/>
    <s v="Yes"/>
    <s v="Accepted only offers meeting payout, mileage, and time criteria."/>
    <x v="2"/>
  </r>
  <r>
    <d v="2026-06-27T00:00:00"/>
    <s v="Peak Pay"/>
    <d v="1899-12-30T17:30:00"/>
    <d v="1899-12-30T21:00:00"/>
    <n v="3.5"/>
    <n v="60.87"/>
    <n v="8.6"/>
    <n v="7"/>
    <n v="7.08"/>
    <s v="Henderson"/>
    <s v="Yes"/>
    <s v="Stopped when order quality dropped instead of extending the shift."/>
    <x v="3"/>
  </r>
  <r>
    <d v="2026-06-28T00:00:00"/>
    <s v="Weekend Dinner"/>
    <d v="1899-12-30T17:30:00"/>
    <d v="1899-12-30T21:15:00"/>
    <n v="3.75"/>
    <n v="79.209999999999994"/>
    <n v="17.399999999999999"/>
    <n v="9"/>
    <n v="4.55"/>
    <s v="Green Valley"/>
    <s v="No"/>
    <s v="Targeted high-volume merchants and ended after the dinner peak."/>
    <x v="4"/>
  </r>
  <r>
    <d v="2026-06-29T00:00:00"/>
    <s v="Dinner"/>
    <d v="1899-12-30T17:30:00"/>
    <d v="1899-12-30T22:15:00"/>
    <n v="4.75"/>
    <n v="95.04"/>
    <n v="15.1"/>
    <n v="10"/>
    <n v="6.29"/>
    <s v="Henderson"/>
    <s v="Yes"/>
    <s v="Short, focused shift produced better earnings than older long shifts."/>
    <x v="0"/>
  </r>
  <r>
    <d v="2026-07-01T00:00:00"/>
    <s v="Peak Pay"/>
    <d v="1899-12-30T18:00:00"/>
    <d v="1899-12-30T21:00:00"/>
    <n v="3"/>
    <n v="65.66"/>
    <n v="10"/>
    <n v="7"/>
    <n v="6.57"/>
    <s v="Southwest"/>
    <s v="Yes"/>
    <s v="Maintained $7+ order floor with limited strategic exceptions."/>
    <x v="6"/>
  </r>
  <r>
    <d v="2026-07-03T00:00:00"/>
    <s v="Dinner"/>
    <d v="1899-12-30T16:00:00"/>
    <d v="1899-12-30T20:30:00"/>
    <n v="4.5"/>
    <n v="96.44"/>
    <n v="24.3"/>
    <n v="11"/>
    <n v="3.97"/>
    <s v="North Las Vegas"/>
    <s v="Yes"/>
    <s v="Stopped when order quality dropped instead of extending the shift."/>
    <x v="2"/>
  </r>
  <r>
    <d v="2026-07-05T00:00:00"/>
    <s v="Weekend Dinner"/>
    <d v="1899-12-30T16:00:00"/>
    <d v="1899-12-30T19:45:00"/>
    <n v="3.75"/>
    <n v="78.03"/>
    <n v="16.399999999999999"/>
    <n v="8"/>
    <n v="4.76"/>
    <s v="Southwest"/>
    <s v="No"/>
    <s v="Strong zone positioning reduced idle time and dead miles."/>
    <x v="4"/>
  </r>
  <r>
    <d v="2026-07-10T00:00:00"/>
    <s v="Dinner"/>
    <d v="1899-12-30T17:00:00"/>
    <d v="1899-12-30T20:00:00"/>
    <n v="3"/>
    <n v="58.37"/>
    <n v="8"/>
    <n v="5"/>
    <n v="7.3"/>
    <s v="Henderson"/>
    <s v="No"/>
    <s v="Targeted high-volume merchants and ended after the dinner peak."/>
    <x v="2"/>
  </r>
  <r>
    <d v="2026-07-11T00:00:00"/>
    <s v="Peak Pay"/>
    <d v="1899-12-30T16:30:00"/>
    <d v="1899-12-30T19:30:00"/>
    <n v="3"/>
    <n v="61.89"/>
    <n v="9.6999999999999993"/>
    <n v="7"/>
    <n v="6.38"/>
    <s v="Henderson"/>
    <s v="Yes"/>
    <s v="Stopped when order quality dropped instead of extending the shift."/>
    <x v="3"/>
  </r>
  <r>
    <d v="2026-07-12T00:00:00"/>
    <s v="Peak Pay"/>
    <d v="1899-12-30T17:00:00"/>
    <d v="1899-12-30T19:45:00"/>
    <n v="2.75"/>
    <n v="56.87"/>
    <n v="12.2"/>
    <n v="6"/>
    <n v="4.66"/>
    <s v="Henderson"/>
    <s v="Yes"/>
    <s v="Stopped when order quality dropped instead of extending the shift."/>
    <x v="4"/>
  </r>
  <r>
    <d v="2026-07-17T00:00:00"/>
    <s v="Targeted Sprint"/>
    <d v="1899-12-30T18:00:00"/>
    <d v="1899-12-30T22:00:00"/>
    <n v="4"/>
    <n v="92.15"/>
    <n v="14.4"/>
    <n v="10"/>
    <n v="6.4"/>
    <s v="Henderson"/>
    <s v="Yes"/>
    <s v="Strong zone positioning reduced idle time and dead miles."/>
    <x v="2"/>
  </r>
  <r>
    <d v="2026-07-18T00:00:00"/>
    <s v="Dinner"/>
    <d v="1899-12-30T17:30:00"/>
    <d v="1899-12-30T20:30:00"/>
    <n v="3"/>
    <n v="57.09"/>
    <n v="11.3"/>
    <n v="6"/>
    <n v="5.05"/>
    <s v="Green Valley"/>
    <s v="Yes"/>
    <s v="Accepted only offers meeting payout, mileage, and time criteria."/>
    <x v="3"/>
  </r>
  <r>
    <d v="2026-07-19T00:00:00"/>
    <s v="Dinner"/>
    <d v="1899-12-30T17:30:00"/>
    <d v="1899-12-30T21:00:00"/>
    <n v="3.5"/>
    <n v="62.28"/>
    <n v="9.8000000000000007"/>
    <n v="7"/>
    <n v="6.36"/>
    <s v="Henderson"/>
    <s v="No"/>
    <s v="Stopped when order quality dropped instead of extending the shift.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d v="1899-12-30T17:00:00"/>
    <d v="1899-12-30T00:00:00"/>
    <n v="7"/>
    <n v="70.739999999999995"/>
    <n v="73"/>
    <n v="12"/>
    <n v="0.97"/>
    <x v="0"/>
    <s v="No"/>
    <s v="Accepted most offers; several long-distance orders."/>
    <x v="0"/>
    <x v="0"/>
  </r>
  <r>
    <x v="1"/>
    <x v="1"/>
    <d v="1899-12-30T10:45:00"/>
    <d v="1899-12-30T17:00:00"/>
    <n v="6.25"/>
    <n v="64.67"/>
    <n v="62.4"/>
    <n v="10"/>
    <n v="1.04"/>
    <x v="1"/>
    <s v="No"/>
    <s v="Chased a bonus outside the best zone."/>
    <x v="1"/>
    <x v="1"/>
  </r>
  <r>
    <x v="2"/>
    <x v="2"/>
    <d v="1899-12-30T16:30:00"/>
    <d v="1899-12-30T21:45:00"/>
    <n v="5.25"/>
    <n v="52.87"/>
    <n v="74.599999999999994"/>
    <n v="9"/>
    <n v="0.71"/>
    <x v="1"/>
    <s v="No"/>
    <s v="Long shift with weak late-hour demand."/>
    <x v="2"/>
    <x v="2"/>
  </r>
  <r>
    <x v="3"/>
    <x v="3"/>
    <d v="1899-12-30T17:30:00"/>
    <d v="1899-12-30T22:30:00"/>
    <n v="5"/>
    <n v="43.73"/>
    <n v="57"/>
    <n v="7"/>
    <n v="0.77"/>
    <x v="2"/>
    <s v="Yes"/>
    <s v="Chased a bonus outside the best zone."/>
    <x v="3"/>
    <x v="3"/>
  </r>
  <r>
    <x v="4"/>
    <x v="4"/>
    <d v="1899-12-30T14:30:00"/>
    <d v="1899-12-30T20:00:00"/>
    <n v="5.5"/>
    <n v="44.78"/>
    <n v="74.900000000000006"/>
    <n v="7"/>
    <n v="0.6"/>
    <x v="1"/>
    <s v="No"/>
    <s v="Long shift with weak late-hour demand."/>
    <x v="4"/>
    <x v="4"/>
  </r>
  <r>
    <x v="5"/>
    <x v="0"/>
    <d v="1899-12-30T17:30:00"/>
    <d v="1899-12-30T01:15:00"/>
    <n v="7.75"/>
    <n v="70.59"/>
    <n v="112"/>
    <n v="13"/>
    <n v="0.63"/>
    <x v="1"/>
    <s v="No"/>
    <s v="No firm minimum payout rule yet."/>
    <x v="2"/>
    <x v="2"/>
  </r>
  <r>
    <x v="6"/>
    <x v="3"/>
    <d v="1899-12-30T16:00:00"/>
    <d v="1899-12-30T22:45:00"/>
    <n v="6.75"/>
    <n v="75.849999999999994"/>
    <n v="94.7"/>
    <n v="10"/>
    <n v="0.8"/>
    <x v="0"/>
    <s v="Yes"/>
    <s v="Waited too long at a slow merchant; low order turnover."/>
    <x v="3"/>
    <x v="3"/>
  </r>
  <r>
    <x v="7"/>
    <x v="3"/>
    <d v="1899-12-30T17:00:00"/>
    <d v="1899-12-30T00:00:00"/>
    <n v="7"/>
    <n v="59.22"/>
    <n v="73.3"/>
    <n v="8"/>
    <n v="0.81"/>
    <x v="1"/>
    <s v="Yes"/>
    <s v="Chased a bonus outside the best zone."/>
    <x v="4"/>
    <x v="4"/>
  </r>
  <r>
    <x v="8"/>
    <x v="3"/>
    <d v="1899-12-30T16:30:00"/>
    <d v="1899-12-30T23:15:00"/>
    <n v="6.75"/>
    <n v="74.08"/>
    <n v="74.7"/>
    <n v="12"/>
    <n v="0.99"/>
    <x v="0"/>
    <s v="Yes"/>
    <s v="Long shift with weak late-hour demand."/>
    <x v="2"/>
    <x v="2"/>
  </r>
  <r>
    <x v="9"/>
    <x v="0"/>
    <d v="1899-12-30T18:00:00"/>
    <d v="1899-12-30T23:45:00"/>
    <n v="5.75"/>
    <n v="50.13"/>
    <n v="65.7"/>
    <n v="9"/>
    <n v="0.76"/>
    <x v="0"/>
    <s v="No"/>
    <s v="Accepted most offers; several long-distance orders."/>
    <x v="3"/>
    <x v="3"/>
  </r>
  <r>
    <x v="10"/>
    <x v="0"/>
    <d v="1899-12-30T16:00:00"/>
    <d v="1899-12-30T22:45:00"/>
    <n v="6.75"/>
    <n v="64.209999999999994"/>
    <n v="87.3"/>
    <n v="10"/>
    <n v="0.74"/>
    <x v="3"/>
    <s v="Yes"/>
    <s v="Stacked order looked good but added excessive miles."/>
    <x v="4"/>
    <x v="4"/>
  </r>
  <r>
    <x v="11"/>
    <x v="2"/>
    <d v="1899-12-30T17:30:00"/>
    <d v="1899-12-30T00:15:00"/>
    <n v="6.75"/>
    <n v="45.14"/>
    <n v="57.2"/>
    <n v="9"/>
    <n v="0.79"/>
    <x v="4"/>
    <s v="No"/>
    <s v="Stacked order looked good but added excessive miles."/>
    <x v="4"/>
    <x v="4"/>
  </r>
  <r>
    <x v="12"/>
    <x v="4"/>
    <d v="1899-12-30T15:00:00"/>
    <d v="1899-12-30T21:00:00"/>
    <n v="6"/>
    <n v="58.9"/>
    <n v="94.3"/>
    <n v="10"/>
    <n v="0.62"/>
    <x v="1"/>
    <s v="No"/>
    <s v="Long shift with weak late-hour demand."/>
    <x v="5"/>
    <x v="5"/>
  </r>
  <r>
    <x v="13"/>
    <x v="4"/>
    <d v="1899-12-30T14:30:00"/>
    <d v="1899-12-30T20:30:00"/>
    <n v="6"/>
    <n v="52.21"/>
    <n v="63.8"/>
    <n v="9"/>
    <n v="0.82"/>
    <x v="0"/>
    <s v="No"/>
    <s v="No firm minimum payout rule yet."/>
    <x v="6"/>
    <x v="6"/>
  </r>
  <r>
    <x v="14"/>
    <x v="3"/>
    <d v="1899-12-30T16:30:00"/>
    <d v="1899-12-30T22:00:00"/>
    <n v="5.5"/>
    <n v="52.13"/>
    <n v="52.2"/>
    <n v="8"/>
    <n v="1"/>
    <x v="1"/>
    <s v="Yes"/>
    <s v="Chased a bonus outside the best zone."/>
    <x v="2"/>
    <x v="2"/>
  </r>
  <r>
    <x v="15"/>
    <x v="2"/>
    <d v="1899-12-30T17:30:00"/>
    <d v="1899-12-30T23:30:00"/>
    <n v="6"/>
    <n v="63.92"/>
    <n v="67.2"/>
    <n v="10"/>
    <n v="0.95"/>
    <x v="2"/>
    <s v="No"/>
    <s v="Waited too long at a slow merchant; low order turnover."/>
    <x v="3"/>
    <x v="3"/>
  </r>
  <r>
    <x v="16"/>
    <x v="3"/>
    <d v="1899-12-30T17:00:00"/>
    <d v="1899-12-30T22:30:00"/>
    <n v="5.5"/>
    <n v="57.07"/>
    <n v="59.9"/>
    <n v="9"/>
    <n v="0.95"/>
    <x v="3"/>
    <s v="Yes"/>
    <s v="Long shift with weak late-hour demand."/>
    <x v="4"/>
    <x v="4"/>
  </r>
  <r>
    <x v="17"/>
    <x v="0"/>
    <d v="1899-12-30T17:30:00"/>
    <d v="1899-12-30T23:30:00"/>
    <n v="6"/>
    <n v="53.45"/>
    <n v="61.2"/>
    <n v="9"/>
    <n v="0.87"/>
    <x v="0"/>
    <s v="No"/>
    <s v="Waited too long at a slow merchant; low order turnover."/>
    <x v="5"/>
    <x v="5"/>
  </r>
  <r>
    <x v="18"/>
    <x v="2"/>
    <d v="1899-12-30T17:30:00"/>
    <d v="1899-12-30T00:15:00"/>
    <n v="6.75"/>
    <n v="50.43"/>
    <n v="79.5"/>
    <n v="8"/>
    <n v="0.63"/>
    <x v="4"/>
    <s v="No"/>
    <s v="Accepted most offers; several long-distance orders."/>
    <x v="3"/>
    <x v="3"/>
  </r>
  <r>
    <x v="19"/>
    <x v="4"/>
    <d v="1899-12-30T15:00:00"/>
    <d v="1899-12-30T20:15:00"/>
    <n v="5.25"/>
    <n v="32.409999999999997"/>
    <n v="41.4"/>
    <n v="6"/>
    <n v="0.78"/>
    <x v="4"/>
    <s v="No"/>
    <s v="No firm minimum payout rule yet."/>
    <x v="4"/>
    <x v="4"/>
  </r>
  <r>
    <x v="20"/>
    <x v="2"/>
    <d v="1899-12-30T16:30:00"/>
    <d v="1899-12-30T23:15:00"/>
    <n v="6.75"/>
    <n v="69.72"/>
    <n v="68.400000000000006"/>
    <n v="12"/>
    <n v="1.02"/>
    <x v="4"/>
    <s v="Yes"/>
    <s v="Stacked order looked good but added excessive miles."/>
    <x v="2"/>
    <x v="2"/>
  </r>
  <r>
    <x v="21"/>
    <x v="2"/>
    <d v="1899-12-30T18:00:00"/>
    <d v="1899-12-30T01:15:00"/>
    <n v="7.25"/>
    <n v="62.01"/>
    <n v="78.099999999999994"/>
    <n v="13"/>
    <n v="0.79"/>
    <x v="2"/>
    <s v="No"/>
    <s v="Chased a bonus outside the best zone."/>
    <x v="3"/>
    <x v="3"/>
  </r>
  <r>
    <x v="22"/>
    <x v="0"/>
    <d v="1899-12-30T17:00:00"/>
    <d v="1899-12-30T00:15:00"/>
    <n v="7.25"/>
    <n v="89.24"/>
    <n v="86.6"/>
    <n v="13"/>
    <n v="1.03"/>
    <x v="3"/>
    <s v="Yes"/>
    <s v="Stacked order looked good but added excessive miles."/>
    <x v="4"/>
    <x v="4"/>
  </r>
  <r>
    <x v="23"/>
    <x v="2"/>
    <d v="1899-12-30T18:00:00"/>
    <d v="1899-12-30T00:00:00"/>
    <n v="6"/>
    <n v="46.04"/>
    <n v="51.2"/>
    <n v="8"/>
    <n v="0.9"/>
    <x v="3"/>
    <s v="No"/>
    <s v="Chased a bonus outside the best zone."/>
    <x v="3"/>
    <x v="3"/>
  </r>
  <r>
    <x v="24"/>
    <x v="2"/>
    <d v="1899-12-30T17:30:00"/>
    <d v="1899-12-30T00:30:00"/>
    <n v="7"/>
    <n v="69.7"/>
    <n v="90.9"/>
    <n v="12"/>
    <n v="0.77"/>
    <x v="3"/>
    <s v="No"/>
    <s v="Long shift with weak late-hour demand."/>
    <x v="4"/>
    <x v="4"/>
  </r>
  <r>
    <x v="25"/>
    <x v="3"/>
    <d v="1899-12-30T17:00:00"/>
    <d v="1899-12-30T22:45:00"/>
    <n v="5.75"/>
    <n v="53.4"/>
    <n v="73.900000000000006"/>
    <n v="8"/>
    <n v="0.72"/>
    <x v="4"/>
    <s v="Yes"/>
    <s v="Waited too long at a slow merchant; low order turnover."/>
    <x v="5"/>
    <x v="5"/>
  </r>
  <r>
    <x v="26"/>
    <x v="0"/>
    <d v="1899-12-30T18:00:00"/>
    <d v="1899-12-30T00:00:00"/>
    <n v="6"/>
    <n v="46.67"/>
    <n v="58.5"/>
    <n v="8"/>
    <n v="0.8"/>
    <x v="3"/>
    <s v="No"/>
    <s v="Waited too long at a slow merchant; low order turnover."/>
    <x v="6"/>
    <x v="6"/>
  </r>
  <r>
    <x v="27"/>
    <x v="3"/>
    <d v="1899-12-30T18:00:00"/>
    <d v="1899-12-30T23:15:00"/>
    <n v="5.25"/>
    <n v="77.66"/>
    <n v="29.8"/>
    <n v="10"/>
    <n v="2.61"/>
    <x v="1"/>
    <s v="Yes"/>
    <s v="Used $1.50/mile as a minimum screening rule."/>
    <x v="3"/>
    <x v="3"/>
  </r>
  <r>
    <x v="28"/>
    <x v="2"/>
    <d v="1899-12-30T17:00:00"/>
    <d v="1899-12-30T22:30:00"/>
    <n v="5.5"/>
    <n v="54.81"/>
    <n v="27.1"/>
    <n v="8"/>
    <n v="2.02"/>
    <x v="3"/>
    <s v="No"/>
    <s v="Ended shift earlier when hourly rate began falling."/>
    <x v="4"/>
    <x v="4"/>
  </r>
  <r>
    <x v="29"/>
    <x v="0"/>
    <d v="1899-12-30T17:30:00"/>
    <d v="1899-12-30T22:00:00"/>
    <n v="4.5"/>
    <n v="43.39"/>
    <n v="24"/>
    <n v="8"/>
    <n v="1.81"/>
    <x v="1"/>
    <s v="No"/>
    <s v="Tested a preferred merchant list; fewer long waits."/>
    <x v="1"/>
    <x v="1"/>
  </r>
  <r>
    <x v="30"/>
    <x v="3"/>
    <d v="1899-12-30T16:30:00"/>
    <d v="1899-12-30T22:00:00"/>
    <n v="5.5"/>
    <n v="61.67"/>
    <n v="16.5"/>
    <n v="9"/>
    <n v="3.74"/>
    <x v="0"/>
    <s v="Yes"/>
    <s v="Used $1.50/mile as a minimum screening rule."/>
    <x v="2"/>
    <x v="2"/>
  </r>
  <r>
    <x v="31"/>
    <x v="2"/>
    <d v="1899-12-30T16:30:00"/>
    <d v="1899-12-30T21:30:00"/>
    <n v="5"/>
    <n v="53.75"/>
    <n v="19.100000000000001"/>
    <n v="8"/>
    <n v="2.81"/>
    <x v="1"/>
    <s v="No"/>
    <s v="Used $1.50/mile as a minimum screening rule."/>
    <x v="4"/>
    <x v="4"/>
  </r>
  <r>
    <x v="32"/>
    <x v="0"/>
    <d v="1899-12-30T16:00:00"/>
    <d v="1899-12-30T20:45:00"/>
    <n v="4.75"/>
    <n v="61.97"/>
    <n v="24.8"/>
    <n v="9"/>
    <n v="2.5"/>
    <x v="1"/>
    <s v="No"/>
    <s v="Started declining offers below $7 unless mileage was very low."/>
    <x v="1"/>
    <x v="1"/>
  </r>
  <r>
    <x v="33"/>
    <x v="0"/>
    <d v="1899-12-30T17:00:00"/>
    <d v="1899-12-30T22:30:00"/>
    <n v="5.5"/>
    <n v="81.02"/>
    <n v="27.1"/>
    <n v="11"/>
    <n v="2.99"/>
    <x v="4"/>
    <s v="No"/>
    <s v="Ended shift earlier when hourly rate began falling."/>
    <x v="3"/>
    <x v="3"/>
  </r>
  <r>
    <x v="34"/>
    <x v="3"/>
    <d v="1899-12-30T17:00:00"/>
    <d v="1899-12-30T23:00:00"/>
    <n v="6"/>
    <n v="65.27"/>
    <n v="26.2"/>
    <n v="10"/>
    <n v="2.4900000000000002"/>
    <x v="4"/>
    <s v="Yes"/>
    <s v="Ended shift earlier when hourly rate began falling."/>
    <x v="4"/>
    <x v="4"/>
  </r>
  <r>
    <x v="35"/>
    <x v="0"/>
    <d v="1899-12-30T16:30:00"/>
    <d v="1899-12-30T21:45:00"/>
    <n v="5.25"/>
    <n v="69.89"/>
    <n v="21"/>
    <n v="10"/>
    <n v="3.33"/>
    <x v="1"/>
    <s v="No"/>
    <s v="Tracked estimated completion time before accepting."/>
    <x v="2"/>
    <x v="2"/>
  </r>
  <r>
    <x v="36"/>
    <x v="2"/>
    <d v="1899-12-30T17:00:00"/>
    <d v="1899-12-30T21:45:00"/>
    <n v="4.75"/>
    <n v="60.98"/>
    <n v="20.399999999999999"/>
    <n v="9"/>
    <n v="2.99"/>
    <x v="1"/>
    <s v="No"/>
    <s v="Tested a preferred merchant list; fewer long waits."/>
    <x v="3"/>
    <x v="3"/>
  </r>
  <r>
    <x v="37"/>
    <x v="0"/>
    <d v="1899-12-30T16:30:00"/>
    <d v="1899-12-30T22:00:00"/>
    <n v="5.5"/>
    <n v="60.14"/>
    <n v="17.2"/>
    <n v="8"/>
    <n v="3.5"/>
    <x v="4"/>
    <s v="No"/>
    <s v="Moved back to a stronger zone after demand slowed."/>
    <x v="2"/>
    <x v="2"/>
  </r>
  <r>
    <x v="38"/>
    <x v="3"/>
    <d v="1899-12-30T17:30:00"/>
    <d v="1899-12-30T23:15:00"/>
    <n v="5.75"/>
    <n v="75.569999999999993"/>
    <n v="27.6"/>
    <n v="9"/>
    <n v="2.74"/>
    <x v="3"/>
    <s v="Yes"/>
    <s v="Started declining offers below $7 unless mileage was very low."/>
    <x v="3"/>
    <x v="3"/>
  </r>
  <r>
    <x v="39"/>
    <x v="2"/>
    <d v="1899-12-30T18:00:00"/>
    <d v="1899-12-30T22:45:00"/>
    <n v="4.75"/>
    <n v="69.27"/>
    <n v="24.2"/>
    <n v="9"/>
    <n v="2.86"/>
    <x v="0"/>
    <s v="No"/>
    <s v="Moved back to a stronger zone after demand slowed."/>
    <x v="4"/>
    <x v="4"/>
  </r>
  <r>
    <x v="40"/>
    <x v="3"/>
    <d v="1899-12-30T17:30:00"/>
    <d v="1899-12-30T22:45:00"/>
    <n v="5.25"/>
    <n v="81.11"/>
    <n v="27.2"/>
    <n v="9"/>
    <n v="2.98"/>
    <x v="1"/>
    <s v="Yes"/>
    <s v="Tracked estimated completion time before accepting."/>
    <x v="0"/>
    <x v="0"/>
  </r>
  <r>
    <x v="41"/>
    <x v="1"/>
    <d v="1899-12-30T11:15:00"/>
    <d v="1899-12-30T17:30:00"/>
    <n v="6.25"/>
    <n v="54.62"/>
    <n v="23.8"/>
    <n v="8"/>
    <n v="2.29"/>
    <x v="1"/>
    <s v="No"/>
    <s v="Used $1.50/mile as a minimum screening rule."/>
    <x v="6"/>
    <x v="6"/>
  </r>
  <r>
    <x v="42"/>
    <x v="3"/>
    <d v="1899-12-30T16:30:00"/>
    <d v="1899-12-30T22:15:00"/>
    <n v="5.75"/>
    <n v="83.89"/>
    <n v="34.700000000000003"/>
    <n v="12"/>
    <n v="2.42"/>
    <x v="1"/>
    <s v="Yes"/>
    <s v="Started declining offers below $7 unless mileage was very low."/>
    <x v="2"/>
    <x v="2"/>
  </r>
  <r>
    <x v="43"/>
    <x v="2"/>
    <d v="1899-12-30T17:00:00"/>
    <d v="1899-12-30T22:30:00"/>
    <n v="5.5"/>
    <n v="54.79"/>
    <n v="26.8"/>
    <n v="7"/>
    <n v="2.04"/>
    <x v="3"/>
    <s v="Yes"/>
    <s v="Used $1.50/mile as a minimum screening rule."/>
    <x v="4"/>
    <x v="4"/>
  </r>
  <r>
    <x v="44"/>
    <x v="0"/>
    <d v="1899-12-30T18:00:00"/>
    <d v="1899-12-30T23:15:00"/>
    <n v="5.25"/>
    <n v="78.959999999999994"/>
    <n v="30"/>
    <n v="11"/>
    <n v="2.63"/>
    <x v="1"/>
    <s v="No"/>
    <s v="Ended shift earlier when hourly rate began falling."/>
    <x v="2"/>
    <x v="2"/>
  </r>
  <r>
    <x v="45"/>
    <x v="0"/>
    <d v="1899-12-30T16:30:00"/>
    <d v="1899-12-30T20:45:00"/>
    <n v="4.25"/>
    <n v="53.39"/>
    <n v="20.3"/>
    <n v="7"/>
    <n v="2.63"/>
    <x v="4"/>
    <s v="Yes"/>
    <s v="Started declining offers below $7 unless mileage was very low."/>
    <x v="3"/>
    <x v="3"/>
  </r>
  <r>
    <x v="46"/>
    <x v="1"/>
    <d v="1899-12-30T11:00:00"/>
    <d v="1899-12-30T16:00:00"/>
    <n v="5"/>
    <n v="58.59"/>
    <n v="18.7"/>
    <n v="8"/>
    <n v="3.13"/>
    <x v="4"/>
    <s v="Yes"/>
    <s v="Ended shift earlier when hourly rate began falling."/>
    <x v="0"/>
    <x v="0"/>
  </r>
  <r>
    <x v="47"/>
    <x v="2"/>
    <d v="1899-12-30T16:00:00"/>
    <d v="1899-12-30T21:30:00"/>
    <n v="5.5"/>
    <n v="49.03"/>
    <n v="21.2"/>
    <n v="8"/>
    <n v="2.31"/>
    <x v="4"/>
    <s v="No"/>
    <s v="Tracked estimated completion time before accepting."/>
    <x v="2"/>
    <x v="2"/>
  </r>
  <r>
    <x v="48"/>
    <x v="2"/>
    <d v="1899-12-30T18:00:00"/>
    <d v="1899-12-30T23:45:00"/>
    <n v="5.75"/>
    <n v="71.34"/>
    <n v="26.1"/>
    <n v="11"/>
    <n v="2.73"/>
    <x v="1"/>
    <s v="No"/>
    <s v="Moved back to a stronger zone after demand slowed."/>
    <x v="4"/>
    <x v="4"/>
  </r>
  <r>
    <x v="49"/>
    <x v="1"/>
    <d v="1899-12-30T10:45:00"/>
    <d v="1899-12-30T15:15:00"/>
    <n v="4.5"/>
    <n v="60.07"/>
    <n v="27.5"/>
    <n v="9"/>
    <n v="2.1800000000000002"/>
    <x v="0"/>
    <s v="No"/>
    <s v="Used $1.50/mile as a minimum screening rule."/>
    <x v="1"/>
    <x v="1"/>
  </r>
  <r>
    <x v="50"/>
    <x v="3"/>
    <d v="1899-12-30T17:00:00"/>
    <d v="1899-12-30T22:15:00"/>
    <n v="5.25"/>
    <n v="70.239999999999995"/>
    <n v="31"/>
    <n v="11"/>
    <n v="2.27"/>
    <x v="2"/>
    <s v="Yes"/>
    <s v="Started declining offers below $7 unless mileage was very low."/>
    <x v="2"/>
    <x v="2"/>
  </r>
  <r>
    <x v="51"/>
    <x v="2"/>
    <d v="1899-12-30T16:00:00"/>
    <d v="1899-12-30T20:30:00"/>
    <n v="4.5"/>
    <n v="48.32"/>
    <n v="22.3"/>
    <n v="7"/>
    <n v="2.17"/>
    <x v="4"/>
    <s v="No"/>
    <s v="Moved back to a stronger zone after demand slowed."/>
    <x v="3"/>
    <x v="3"/>
  </r>
  <r>
    <x v="52"/>
    <x v="0"/>
    <d v="1899-12-30T16:30:00"/>
    <d v="1899-12-30T21:45:00"/>
    <n v="5.25"/>
    <n v="81.709999999999994"/>
    <n v="29"/>
    <n v="11"/>
    <n v="2.82"/>
    <x v="1"/>
    <s v="No"/>
    <s v="Tested a preferred merchant list; fewer long waits."/>
    <x v="4"/>
    <x v="4"/>
  </r>
  <r>
    <x v="53"/>
    <x v="0"/>
    <d v="1899-12-30T18:00:00"/>
    <d v="1899-12-30T00:00:00"/>
    <n v="6"/>
    <n v="65.03"/>
    <n v="21.2"/>
    <n v="10"/>
    <n v="3.07"/>
    <x v="4"/>
    <s v="No"/>
    <s v="Started declining offers below $7 unless mileage was very low."/>
    <x v="6"/>
    <x v="6"/>
  </r>
  <r>
    <x v="54"/>
    <x v="2"/>
    <d v="1899-12-30T17:30:00"/>
    <d v="1899-12-30T21:45:00"/>
    <n v="4.25"/>
    <n v="72.47"/>
    <n v="15.7"/>
    <n v="9"/>
    <n v="4.62"/>
    <x v="4"/>
    <s v="Yes"/>
    <s v="Prioritized reliable merchants with fast pickup times."/>
    <x v="2"/>
    <x v="2"/>
  </r>
  <r>
    <x v="55"/>
    <x v="3"/>
    <d v="1899-12-30T17:00:00"/>
    <d v="1899-12-30T20:30:00"/>
    <n v="3.5"/>
    <n v="51.83"/>
    <n v="13.4"/>
    <n v="7"/>
    <n v="3.87"/>
    <x v="4"/>
    <s v="Yes"/>
    <s v="Used estimated time per order to protect hourly earnings."/>
    <x v="3"/>
    <x v="3"/>
  </r>
  <r>
    <x v="56"/>
    <x v="3"/>
    <d v="1899-12-30T17:00:00"/>
    <d v="1899-12-30T21:45:00"/>
    <n v="4.75"/>
    <n v="84.44"/>
    <n v="20.100000000000001"/>
    <n v="10"/>
    <n v="4.2"/>
    <x v="1"/>
    <s v="Yes"/>
    <s v="Prioritized reliable merchants with fast pickup times."/>
    <x v="4"/>
    <x v="4"/>
  </r>
  <r>
    <x v="57"/>
    <x v="0"/>
    <d v="1899-12-30T16:30:00"/>
    <d v="1899-12-30T20:00:00"/>
    <n v="3.5"/>
    <n v="55.45"/>
    <n v="13.6"/>
    <n v="7"/>
    <n v="4.08"/>
    <x v="4"/>
    <s v="Yes"/>
    <s v="Applied $7+ order and $2/mile targets consistently."/>
    <x v="1"/>
    <x v="1"/>
  </r>
  <r>
    <x v="58"/>
    <x v="0"/>
    <d v="1899-12-30T16:00:00"/>
    <d v="1899-12-30T20:00:00"/>
    <n v="4"/>
    <n v="79.94"/>
    <n v="14.8"/>
    <n v="9"/>
    <n v="5.4"/>
    <x v="2"/>
    <s v="Yes"/>
    <s v="Used estimated time per order to protect hourly earnings."/>
    <x v="2"/>
    <x v="2"/>
  </r>
  <r>
    <x v="59"/>
    <x v="0"/>
    <d v="1899-12-30T18:00:00"/>
    <d v="1899-12-30T22:00:00"/>
    <n v="4"/>
    <n v="74.349999999999994"/>
    <n v="23"/>
    <n v="9"/>
    <n v="3.23"/>
    <x v="0"/>
    <s v="No"/>
    <s v="Worked only the strongest dinner window."/>
    <x v="3"/>
    <x v="3"/>
  </r>
  <r>
    <x v="60"/>
    <x v="2"/>
    <d v="1899-12-30T17:30:00"/>
    <d v="1899-12-30T20:45:00"/>
    <n v="3.25"/>
    <n v="58.46"/>
    <n v="18.2"/>
    <n v="7"/>
    <n v="3.21"/>
    <x v="1"/>
    <s v="Yes"/>
    <s v="Declined orders with poor return-mile potential."/>
    <x v="4"/>
    <x v="4"/>
  </r>
  <r>
    <x v="61"/>
    <x v="3"/>
    <d v="1899-12-30T16:00:00"/>
    <d v="1899-12-30T19:00:00"/>
    <n v="3"/>
    <n v="42.95"/>
    <n v="12.9"/>
    <n v="5"/>
    <n v="3.33"/>
    <x v="0"/>
    <s v="Yes"/>
    <s v="Prioritized reliable merchants with fast pickup times."/>
    <x v="1"/>
    <x v="1"/>
  </r>
  <r>
    <x v="62"/>
    <x v="2"/>
    <d v="1899-12-30T18:00:00"/>
    <d v="1899-12-30T22:45:00"/>
    <n v="4.75"/>
    <n v="67.78"/>
    <n v="15.3"/>
    <n v="9"/>
    <n v="4.43"/>
    <x v="1"/>
    <s v="No"/>
    <s v="Worked only the strongest dinner window."/>
    <x v="2"/>
    <x v="2"/>
  </r>
  <r>
    <x v="63"/>
    <x v="2"/>
    <d v="1899-12-30T16:30:00"/>
    <d v="1899-12-30T21:15:00"/>
    <n v="4.75"/>
    <n v="84.8"/>
    <n v="22.4"/>
    <n v="10"/>
    <n v="3.79"/>
    <x v="4"/>
    <s v="No"/>
    <s v="Worked only the strongest dinner window."/>
    <x v="3"/>
    <x v="3"/>
  </r>
  <r>
    <x v="64"/>
    <x v="0"/>
    <d v="1899-12-30T18:00:00"/>
    <d v="1899-12-30T22:00:00"/>
    <n v="4"/>
    <n v="68.92"/>
    <n v="12.9"/>
    <n v="8"/>
    <n v="5.34"/>
    <x v="4"/>
    <s v="Yes"/>
    <s v="Applied $7+ order and $2/mile targets consistently."/>
    <x v="4"/>
    <x v="4"/>
  </r>
  <r>
    <x v="65"/>
    <x v="2"/>
    <d v="1899-12-30T18:00:00"/>
    <d v="1899-12-30T21:30:00"/>
    <n v="3.5"/>
    <n v="62.56"/>
    <n v="15.8"/>
    <n v="8"/>
    <n v="3.96"/>
    <x v="0"/>
    <s v="No"/>
    <s v="Applied $7+ order and $2/mile targets consistently."/>
    <x v="4"/>
    <x v="4"/>
  </r>
  <r>
    <x v="66"/>
    <x v="0"/>
    <d v="1899-12-30T16:00:00"/>
    <d v="1899-12-30T19:30:00"/>
    <n v="3.5"/>
    <n v="41.87"/>
    <n v="12.9"/>
    <n v="6"/>
    <n v="3.25"/>
    <x v="2"/>
    <s v="No"/>
    <s v="Prioritized reliable merchants with fast pickup times."/>
    <x v="1"/>
    <x v="1"/>
  </r>
  <r>
    <x v="67"/>
    <x v="2"/>
    <d v="1899-12-30T18:00:00"/>
    <d v="1899-12-30T21:45:00"/>
    <n v="3.75"/>
    <n v="58.55"/>
    <n v="16.399999999999999"/>
    <n v="8"/>
    <n v="3.57"/>
    <x v="1"/>
    <s v="No"/>
    <s v="Used estimated time per order to protect hourly earnings."/>
    <x v="3"/>
    <x v="3"/>
  </r>
  <r>
    <x v="68"/>
    <x v="5"/>
    <d v="1899-12-30T17:00:00"/>
    <d v="1899-12-30T21:15:00"/>
    <n v="4.25"/>
    <n v="59.95"/>
    <n v="17.100000000000001"/>
    <n v="8"/>
    <n v="3.51"/>
    <x v="4"/>
    <s v="No"/>
    <s v="Used estimated time per order to protect hourly earnings."/>
    <x v="5"/>
    <x v="5"/>
  </r>
  <r>
    <x v="69"/>
    <x v="0"/>
    <d v="1899-12-30T18:00:00"/>
    <d v="1899-12-30T22:15:00"/>
    <n v="4.25"/>
    <n v="63.86"/>
    <n v="16.7"/>
    <n v="9"/>
    <n v="3.82"/>
    <x v="4"/>
    <s v="No"/>
    <s v="Used estimated time per order to protect hourly earnings."/>
    <x v="6"/>
    <x v="6"/>
  </r>
  <r>
    <x v="70"/>
    <x v="0"/>
    <d v="1899-12-30T16:30:00"/>
    <d v="1899-12-30T21:30:00"/>
    <n v="5"/>
    <n v="78.84"/>
    <n v="27.5"/>
    <n v="11"/>
    <n v="2.87"/>
    <x v="3"/>
    <s v="No"/>
    <s v="Applied $7+ order and $2/mile targets consistently."/>
    <x v="2"/>
    <x v="2"/>
  </r>
  <r>
    <x v="71"/>
    <x v="2"/>
    <d v="1899-12-30T16:00:00"/>
    <d v="1899-12-30T19:45:00"/>
    <n v="3.75"/>
    <n v="67.739999999999995"/>
    <n v="15.9"/>
    <n v="8"/>
    <n v="4.26"/>
    <x v="1"/>
    <s v="No"/>
    <s v="Worked only the strongest dinner window."/>
    <x v="3"/>
    <x v="3"/>
  </r>
  <r>
    <x v="72"/>
    <x v="3"/>
    <d v="1899-12-30T17:00:00"/>
    <d v="1899-12-30T21:45:00"/>
    <n v="4.75"/>
    <n v="80.13"/>
    <n v="25.9"/>
    <n v="9"/>
    <n v="3.09"/>
    <x v="2"/>
    <s v="Yes"/>
    <s v="Worked only the strongest dinner window."/>
    <x v="4"/>
    <x v="4"/>
  </r>
  <r>
    <x v="73"/>
    <x v="1"/>
    <d v="1899-12-30T11:15:00"/>
    <d v="1899-12-30T15:45:00"/>
    <n v="4.5"/>
    <n v="80.78"/>
    <n v="17.899999999999999"/>
    <n v="9"/>
    <n v="4.51"/>
    <x v="1"/>
    <s v="No"/>
    <s v="Avoided low-value stacks and apartment-heavy routes."/>
    <x v="0"/>
    <x v="0"/>
  </r>
  <r>
    <x v="74"/>
    <x v="1"/>
    <d v="1899-12-30T11:15:00"/>
    <d v="1899-12-30T15:00:00"/>
    <n v="3.75"/>
    <n v="59.07"/>
    <n v="12.3"/>
    <n v="7"/>
    <n v="4.8"/>
    <x v="0"/>
    <s v="No"/>
    <s v="Worked only the strongest dinner window."/>
    <x v="6"/>
    <x v="6"/>
  </r>
  <r>
    <x v="75"/>
    <x v="5"/>
    <d v="1899-12-30T17:00:00"/>
    <d v="1899-12-30T21:30:00"/>
    <n v="4.5"/>
    <n v="53.3"/>
    <n v="21.6"/>
    <n v="8"/>
    <n v="2.4700000000000002"/>
    <x v="1"/>
    <s v="No"/>
    <s v="Declined orders with poor return-mile potential."/>
    <x v="1"/>
    <x v="1"/>
  </r>
  <r>
    <x v="76"/>
    <x v="2"/>
    <d v="1899-12-30T16:00:00"/>
    <d v="1899-12-30T20:15:00"/>
    <n v="4.25"/>
    <n v="60.94"/>
    <n v="17"/>
    <n v="8"/>
    <n v="3.58"/>
    <x v="4"/>
    <s v="No"/>
    <s v="Avoided low-value stacks and apartment-heavy routes."/>
    <x v="2"/>
    <x v="2"/>
  </r>
  <r>
    <x v="77"/>
    <x v="2"/>
    <d v="1899-12-30T18:00:00"/>
    <d v="1899-12-30T22:15:00"/>
    <n v="4.25"/>
    <n v="84.67"/>
    <n v="15.1"/>
    <n v="10"/>
    <n v="5.61"/>
    <x v="1"/>
    <s v="No"/>
    <s v="Prioritized reliable merchants with fast pickup times."/>
    <x v="4"/>
    <x v="4"/>
  </r>
  <r>
    <x v="78"/>
    <x v="1"/>
    <d v="1899-12-30T11:00:00"/>
    <d v="1899-12-30T15:30:00"/>
    <n v="4.5"/>
    <n v="62.14"/>
    <n v="23.9"/>
    <n v="9"/>
    <n v="2.6"/>
    <x v="4"/>
    <s v="Yes"/>
    <s v="Prioritized reliable merchants with fast pickup times."/>
    <x v="6"/>
    <x v="6"/>
  </r>
  <r>
    <x v="79"/>
    <x v="0"/>
    <d v="1899-12-30T18:00:00"/>
    <d v="1899-12-30T23:15:00"/>
    <n v="5.25"/>
    <n v="79.03"/>
    <n v="13.7"/>
    <n v="10"/>
    <n v="5.77"/>
    <x v="4"/>
    <s v="No"/>
    <s v="Prioritized reliable merchants with fast pickup times."/>
    <x v="1"/>
    <x v="1"/>
  </r>
  <r>
    <x v="80"/>
    <x v="0"/>
    <d v="1899-12-30T16:00:00"/>
    <d v="1899-12-30T20:00:00"/>
    <n v="4"/>
    <n v="57.61"/>
    <n v="15.6"/>
    <n v="8"/>
    <n v="3.69"/>
    <x v="1"/>
    <s v="No"/>
    <s v="Worked only the strongest dinner window."/>
    <x v="2"/>
    <x v="2"/>
  </r>
  <r>
    <x v="81"/>
    <x v="2"/>
    <d v="1899-12-30T16:30:00"/>
    <d v="1899-12-30T20:15:00"/>
    <n v="3.75"/>
    <n v="59.67"/>
    <n v="12.3"/>
    <n v="8"/>
    <n v="4.8499999999999996"/>
    <x v="1"/>
    <s v="No"/>
    <s v="Avoided low-value stacks and apartment-heavy routes."/>
    <x v="3"/>
    <x v="3"/>
  </r>
  <r>
    <x v="82"/>
    <x v="0"/>
    <d v="1899-12-30T17:30:00"/>
    <d v="1899-12-30T21:00:00"/>
    <n v="3.5"/>
    <n v="64.709999999999994"/>
    <n v="12.8"/>
    <n v="7"/>
    <n v="5.0599999999999996"/>
    <x v="0"/>
    <s v="Yes"/>
    <s v="Prioritized reliable merchants with fast pickup times."/>
    <x v="4"/>
    <x v="4"/>
  </r>
  <r>
    <x v="83"/>
    <x v="1"/>
    <d v="1899-12-30T11:15:00"/>
    <d v="1899-12-30T14:45:00"/>
    <n v="3.5"/>
    <n v="63.18"/>
    <n v="13.8"/>
    <n v="8"/>
    <n v="4.58"/>
    <x v="1"/>
    <s v="No"/>
    <s v="Declined orders with poor return-mile potential."/>
    <x v="6"/>
    <x v="6"/>
  </r>
  <r>
    <x v="84"/>
    <x v="2"/>
    <d v="1899-12-30T16:00:00"/>
    <d v="1899-12-30T20:15:00"/>
    <n v="4.25"/>
    <n v="80.13"/>
    <n v="23.1"/>
    <n v="10"/>
    <n v="3.47"/>
    <x v="0"/>
    <s v="No"/>
    <s v="Prioritized reliable merchants with fast pickup times."/>
    <x v="2"/>
    <x v="2"/>
  </r>
  <r>
    <x v="85"/>
    <x v="2"/>
    <d v="1899-12-30T16:30:00"/>
    <d v="1899-12-30T21:00:00"/>
    <n v="4.5"/>
    <n v="86.23"/>
    <n v="16.8"/>
    <n v="10"/>
    <n v="5.13"/>
    <x v="0"/>
    <s v="No"/>
    <s v="Prioritized reliable merchants with fast pickup times."/>
    <x v="3"/>
    <x v="3"/>
  </r>
  <r>
    <x v="86"/>
    <x v="5"/>
    <d v="1899-12-30T16:00:00"/>
    <d v="1899-12-30T20:45:00"/>
    <n v="4.75"/>
    <n v="65.739999999999995"/>
    <n v="22"/>
    <n v="10"/>
    <n v="2.99"/>
    <x v="1"/>
    <s v="No"/>
    <s v="Prioritized reliable merchants with fast pickup times."/>
    <x v="1"/>
    <x v="1"/>
  </r>
  <r>
    <x v="87"/>
    <x v="0"/>
    <d v="1899-12-30T18:00:00"/>
    <d v="1899-12-30T23:00:00"/>
    <n v="5"/>
    <n v="91.43"/>
    <n v="18.8"/>
    <n v="12"/>
    <n v="4.8600000000000003"/>
    <x v="2"/>
    <s v="No"/>
    <s v="Declined orders with poor return-mile potential."/>
    <x v="2"/>
    <x v="2"/>
  </r>
  <r>
    <x v="88"/>
    <x v="3"/>
    <d v="1899-12-30T17:30:00"/>
    <d v="1899-12-30T21:30:00"/>
    <n v="4"/>
    <n v="85.35"/>
    <n v="14.1"/>
    <n v="9"/>
    <n v="6.05"/>
    <x v="2"/>
    <s v="Yes"/>
    <s v="Accepted only offers meeting payout, mileage, and time criteria."/>
    <x v="1"/>
    <x v="1"/>
  </r>
  <r>
    <x v="89"/>
    <x v="5"/>
    <d v="1899-12-30T16:30:00"/>
    <d v="1899-12-30T20:00:00"/>
    <n v="3.5"/>
    <n v="69.2"/>
    <n v="16.7"/>
    <n v="8"/>
    <n v="4.1399999999999997"/>
    <x v="1"/>
    <s v="No"/>
    <s v="Maintained $7+ order floor with limited strategic exceptions."/>
    <x v="2"/>
    <x v="2"/>
  </r>
  <r>
    <x v="90"/>
    <x v="3"/>
    <d v="1899-12-30T17:30:00"/>
    <d v="1899-12-30T21:15:00"/>
    <n v="3.75"/>
    <n v="85.23"/>
    <n v="11.3"/>
    <n v="10"/>
    <n v="7.54"/>
    <x v="2"/>
    <s v="Yes"/>
    <s v="Strong zone positioning reduced idle time and dead miles."/>
    <x v="4"/>
    <x v="4"/>
  </r>
  <r>
    <x v="91"/>
    <x v="0"/>
    <d v="1899-12-30T17:30:00"/>
    <d v="1899-12-30T21:30:00"/>
    <n v="4"/>
    <n v="73.05"/>
    <n v="15.5"/>
    <n v="9"/>
    <n v="4.71"/>
    <x v="1"/>
    <s v="Yes"/>
    <s v="Targeted high-volume merchants and ended after the dinner peak."/>
    <x v="5"/>
    <x v="5"/>
  </r>
  <r>
    <x v="92"/>
    <x v="1"/>
    <d v="1899-12-30T11:30:00"/>
    <d v="1899-12-30T14:45:00"/>
    <n v="3.25"/>
    <n v="69.63"/>
    <n v="12.5"/>
    <n v="7"/>
    <n v="5.57"/>
    <x v="1"/>
    <s v="No"/>
    <s v="Maintained $7+ order floor with limited strategic exceptions."/>
    <x v="1"/>
    <x v="1"/>
  </r>
  <r>
    <x v="93"/>
    <x v="3"/>
    <d v="1899-12-30T17:00:00"/>
    <d v="1899-12-30T20:15:00"/>
    <n v="3.25"/>
    <n v="59.36"/>
    <n v="12.2"/>
    <n v="6"/>
    <n v="4.87"/>
    <x v="4"/>
    <s v="Yes"/>
    <s v="Stopped when order quality dropped instead of extending the shift."/>
    <x v="3"/>
    <x v="3"/>
  </r>
  <r>
    <x v="94"/>
    <x v="2"/>
    <d v="1899-12-30T16:00:00"/>
    <d v="1899-12-30T18:45:00"/>
    <n v="2.75"/>
    <n v="51.33"/>
    <n v="14.1"/>
    <n v="5"/>
    <n v="3.64"/>
    <x v="3"/>
    <s v="Yes"/>
    <s v="Strong zone positioning reduced idle time and dead miles."/>
    <x v="4"/>
    <x v="4"/>
  </r>
  <r>
    <x v="95"/>
    <x v="3"/>
    <d v="1899-12-30T16:30:00"/>
    <d v="1899-12-30T20:15:00"/>
    <n v="3.75"/>
    <n v="75.55"/>
    <n v="11.5"/>
    <n v="8"/>
    <n v="6.57"/>
    <x v="4"/>
    <s v="Yes"/>
    <s v="Accepted only offers meeting payout, mileage, and time criteria."/>
    <x v="6"/>
    <x v="6"/>
  </r>
  <r>
    <x v="96"/>
    <x v="0"/>
    <d v="1899-12-30T16:30:00"/>
    <d v="1899-12-30T19:45:00"/>
    <n v="3.25"/>
    <n v="63.42"/>
    <n v="8"/>
    <n v="6"/>
    <n v="7.93"/>
    <x v="1"/>
    <s v="No"/>
    <s v="Targeted high-volume merchants and ended after the dinner peak."/>
    <x v="4"/>
    <x v="4"/>
  </r>
  <r>
    <x v="97"/>
    <x v="5"/>
    <d v="1899-12-30T16:30:00"/>
    <d v="1899-12-30T19:15:00"/>
    <n v="2.75"/>
    <n v="53.76"/>
    <n v="8"/>
    <n v="6"/>
    <n v="6.72"/>
    <x v="2"/>
    <s v="No"/>
    <s v="Strong zone positioning reduced idle time and dead miles."/>
    <x v="6"/>
    <x v="6"/>
  </r>
  <r>
    <x v="98"/>
    <x v="3"/>
    <d v="1899-12-30T17:30:00"/>
    <d v="1899-12-30T21:00:00"/>
    <n v="3.5"/>
    <n v="62.3"/>
    <n v="19.899999999999999"/>
    <n v="7"/>
    <n v="3.13"/>
    <x v="3"/>
    <s v="Yes"/>
    <s v="Short, focused shift produced better earnings than older long shifts."/>
    <x v="2"/>
    <x v="2"/>
  </r>
  <r>
    <x v="99"/>
    <x v="2"/>
    <d v="1899-12-30T16:30:00"/>
    <d v="1899-12-30T20:30:00"/>
    <n v="4"/>
    <n v="76.13"/>
    <n v="13.2"/>
    <n v="7"/>
    <n v="5.77"/>
    <x v="4"/>
    <s v="No"/>
    <s v="Short, focused shift produced better earnings than older long shifts."/>
    <x v="4"/>
    <x v="4"/>
  </r>
  <r>
    <x v="100"/>
    <x v="5"/>
    <d v="1899-12-30T16:00:00"/>
    <d v="1899-12-30T20:45:00"/>
    <n v="4.75"/>
    <n v="86.36"/>
    <n v="18.399999999999999"/>
    <n v="9"/>
    <n v="4.6900000000000004"/>
    <x v="0"/>
    <s v="No"/>
    <s v="Stopped when order quality dropped instead of extending the shift."/>
    <x v="5"/>
    <x v="5"/>
  </r>
  <r>
    <x v="101"/>
    <x v="2"/>
    <d v="1899-12-30T16:30:00"/>
    <d v="1899-12-30T20:45:00"/>
    <n v="4.25"/>
    <n v="93.5"/>
    <n v="16.3"/>
    <n v="9"/>
    <n v="5.74"/>
    <x v="1"/>
    <s v="Yes"/>
    <s v="Targeted high-volume merchants and ended after the dinner peak."/>
    <x v="2"/>
    <x v="2"/>
  </r>
  <r>
    <x v="102"/>
    <x v="0"/>
    <d v="1899-12-30T17:00:00"/>
    <d v="1899-12-30T20:15:00"/>
    <n v="3.25"/>
    <n v="68.41"/>
    <n v="8"/>
    <n v="7"/>
    <n v="8.5500000000000007"/>
    <x v="1"/>
    <s v="No"/>
    <s v="Targeted high-volume merchants and ended after the dinner peak."/>
    <x v="3"/>
    <x v="3"/>
  </r>
  <r>
    <x v="103"/>
    <x v="2"/>
    <d v="1899-12-30T18:00:00"/>
    <d v="1899-12-30T22:30:00"/>
    <n v="4.5"/>
    <n v="90.49"/>
    <n v="11"/>
    <n v="9"/>
    <n v="8.23"/>
    <x v="1"/>
    <s v="Yes"/>
    <s v="Maintained $7+ order floor with limited strategic exceptions."/>
    <x v="4"/>
    <x v="4"/>
  </r>
  <r>
    <x v="104"/>
    <x v="0"/>
    <d v="1899-12-30T16:30:00"/>
    <d v="1899-12-30T20:15:00"/>
    <n v="3.75"/>
    <n v="65.010000000000005"/>
    <n v="9.3000000000000007"/>
    <n v="8"/>
    <n v="6.99"/>
    <x v="1"/>
    <s v="No"/>
    <s v="Maintained $7+ order floor with limited strategic exceptions."/>
    <x v="1"/>
    <x v="1"/>
  </r>
  <r>
    <x v="105"/>
    <x v="3"/>
    <d v="1899-12-30T16:30:00"/>
    <d v="1899-12-30T19:15:00"/>
    <n v="2.75"/>
    <n v="54.64"/>
    <n v="10.7"/>
    <n v="6"/>
    <n v="5.1100000000000003"/>
    <x v="1"/>
    <s v="Yes"/>
    <s v="Accepted only offers meeting payout, mileage, and time criteria."/>
    <x v="2"/>
    <x v="2"/>
  </r>
  <r>
    <x v="106"/>
    <x v="3"/>
    <d v="1899-12-30T17:30:00"/>
    <d v="1899-12-30T21:00:00"/>
    <n v="3.5"/>
    <n v="60.87"/>
    <n v="8.6"/>
    <n v="7"/>
    <n v="7.08"/>
    <x v="1"/>
    <s v="Yes"/>
    <s v="Stopped when order quality dropped instead of extending the shift."/>
    <x v="3"/>
    <x v="3"/>
  </r>
  <r>
    <x v="107"/>
    <x v="2"/>
    <d v="1899-12-30T17:30:00"/>
    <d v="1899-12-30T21:15:00"/>
    <n v="3.75"/>
    <n v="79.209999999999994"/>
    <n v="17.399999999999999"/>
    <n v="9"/>
    <n v="4.55"/>
    <x v="4"/>
    <s v="No"/>
    <s v="Targeted high-volume merchants and ended after the dinner peak."/>
    <x v="4"/>
    <x v="4"/>
  </r>
  <r>
    <x v="108"/>
    <x v="0"/>
    <d v="1899-12-30T17:30:00"/>
    <d v="1899-12-30T22:15:00"/>
    <n v="4.75"/>
    <n v="95.04"/>
    <n v="15.1"/>
    <n v="10"/>
    <n v="6.29"/>
    <x v="1"/>
    <s v="Yes"/>
    <s v="Short, focused shift produced better earnings than older long shifts."/>
    <x v="0"/>
    <x v="0"/>
  </r>
  <r>
    <x v="109"/>
    <x v="3"/>
    <d v="1899-12-30T18:00:00"/>
    <d v="1899-12-30T21:00:00"/>
    <n v="3"/>
    <n v="65.66"/>
    <n v="10"/>
    <n v="7"/>
    <n v="6.57"/>
    <x v="0"/>
    <s v="Yes"/>
    <s v="Maintained $7+ order floor with limited strategic exceptions."/>
    <x v="6"/>
    <x v="6"/>
  </r>
  <r>
    <x v="110"/>
    <x v="0"/>
    <d v="1899-12-30T16:00:00"/>
    <d v="1899-12-30T20:30:00"/>
    <n v="4.5"/>
    <n v="96.44"/>
    <n v="24.3"/>
    <n v="11"/>
    <n v="3.97"/>
    <x v="3"/>
    <s v="Yes"/>
    <s v="Stopped when order quality dropped instead of extending the shift."/>
    <x v="2"/>
    <x v="2"/>
  </r>
  <r>
    <x v="111"/>
    <x v="2"/>
    <d v="1899-12-30T16:00:00"/>
    <d v="1899-12-30T19:45:00"/>
    <n v="3.75"/>
    <n v="78.03"/>
    <n v="16.399999999999999"/>
    <n v="8"/>
    <n v="4.76"/>
    <x v="0"/>
    <s v="No"/>
    <s v="Strong zone positioning reduced idle time and dead miles."/>
    <x v="4"/>
    <x v="4"/>
  </r>
  <r>
    <x v="112"/>
    <x v="0"/>
    <d v="1899-12-30T17:00:00"/>
    <d v="1899-12-30T20:00:00"/>
    <n v="3"/>
    <n v="58.37"/>
    <n v="8"/>
    <n v="5"/>
    <n v="7.3"/>
    <x v="1"/>
    <s v="No"/>
    <s v="Targeted high-volume merchants and ended after the dinner peak."/>
    <x v="2"/>
    <x v="2"/>
  </r>
  <r>
    <x v="113"/>
    <x v="3"/>
    <d v="1899-12-30T16:30:00"/>
    <d v="1899-12-30T19:30:00"/>
    <n v="3"/>
    <n v="61.89"/>
    <n v="9.6999999999999993"/>
    <n v="7"/>
    <n v="6.38"/>
    <x v="1"/>
    <s v="Yes"/>
    <s v="Stopped when order quality dropped instead of extending the shift."/>
    <x v="3"/>
    <x v="3"/>
  </r>
  <r>
    <x v="114"/>
    <x v="3"/>
    <d v="1899-12-30T17:00:00"/>
    <d v="1899-12-30T19:45:00"/>
    <n v="2.75"/>
    <n v="56.87"/>
    <n v="12.2"/>
    <n v="6"/>
    <n v="4.66"/>
    <x v="1"/>
    <s v="Yes"/>
    <s v="Stopped when order quality dropped instead of extending the shift."/>
    <x v="4"/>
    <x v="4"/>
  </r>
  <r>
    <x v="115"/>
    <x v="5"/>
    <d v="1899-12-30T18:00:00"/>
    <d v="1899-12-30T22:00:00"/>
    <n v="4"/>
    <n v="92.15"/>
    <n v="14.4"/>
    <n v="10"/>
    <n v="6.4"/>
    <x v="1"/>
    <s v="Yes"/>
    <s v="Strong zone positioning reduced idle time and dead miles."/>
    <x v="2"/>
    <x v="2"/>
  </r>
  <r>
    <x v="116"/>
    <x v="0"/>
    <d v="1899-12-30T17:30:00"/>
    <d v="1899-12-30T20:30:00"/>
    <n v="3"/>
    <n v="57.09"/>
    <n v="11.3"/>
    <n v="6"/>
    <n v="5.05"/>
    <x v="4"/>
    <s v="Yes"/>
    <s v="Accepted only offers meeting payout, mileage, and time criteria."/>
    <x v="3"/>
    <x v="3"/>
  </r>
  <r>
    <x v="117"/>
    <x v="0"/>
    <d v="1899-12-30T17:30:00"/>
    <d v="1899-12-30T21:00:00"/>
    <n v="3.5"/>
    <n v="62.28"/>
    <n v="9.8000000000000007"/>
    <n v="7"/>
    <n v="6.36"/>
    <x v="1"/>
    <s v="No"/>
    <s v="Stopped when order quality dropped instead of extending the shift.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18CD9-D649-46D1-BEED-35F8A35CDD4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2" firstHeaderRow="0" firstDataRow="1" firstDataCol="1"/>
  <pivotFields count="17"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numFmtId="21" showAll="0"/>
    <pivotField numFmtId="21" showAll="0"/>
    <pivotField dataField="1" showAll="0"/>
    <pivotField dataField="1" showAll="0"/>
    <pivotField showAll="0"/>
    <pivotField showAll="0"/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>
      <items count="8">
        <item x="4"/>
        <item h="1" x="0"/>
        <item h="1" x="5"/>
        <item h="1" x="6"/>
        <item h="1" x="1"/>
        <item x="2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_worked" fld="4" baseField="0" baseItem="0"/>
    <dataField name="Sum of gross_earnings" fld="5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81264-8E89-4580-90C4-633D3404317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7">
    <pivotField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numFmtId="21" showAll="0"/>
    <pivotField numFmtId="21" showAll="0"/>
    <pivotField showAll="0"/>
    <pivotField showAll="0"/>
    <pivotField showAll="0"/>
    <pivotField showAll="0"/>
    <pivotField dataField="1" showAll="0"/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>
      <items count="8">
        <item x="4"/>
        <item h="1" x="0"/>
        <item h="1" x="5"/>
        <item h="1" x="6"/>
        <item h="1"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dollars_per_mile" fld="8" subtotal="average" baseField="0" baseItem="0" numFmtId="164"/>
    <dataField name="Max of avg_dollars_per_mile" fld="8" subtotal="max" baseField="0" baseItem="1" numFmtId="164"/>
    <dataField name="Min of avg_dollars_per_mile" fld="8" subtotal="min" baseField="0" baseItem="1" numFmtId="164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D747C-F735-4A03-8FD8-66CD5EE5BF4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ft Type by Day">
  <location ref="A3:B18" firstHeaderRow="1" firstDataRow="1" firstDataCol="1"/>
  <pivotFields count="17">
    <pivotField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axis="axisRow" showAll="0" sortType="descending">
      <items count="7">
        <item x="0"/>
        <item x="1"/>
        <item x="4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1" showAll="0"/>
    <pivotField numFmtId="2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h="1" x="0"/>
        <item h="1" x="5"/>
        <item h="1" x="6"/>
        <item h="1"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3"/>
    <field x="1"/>
  </rowFields>
  <rowItems count="15">
    <i>
      <x v="5"/>
    </i>
    <i r="1">
      <x v="4"/>
    </i>
    <i r="1">
      <x/>
    </i>
    <i r="1">
      <x v="5"/>
    </i>
    <i r="1">
      <x v="3"/>
    </i>
    <i>
      <x/>
    </i>
    <i r="1">
      <x/>
    </i>
    <i r="1">
      <x v="3"/>
    </i>
    <i r="1">
      <x v="5"/>
    </i>
    <i r="1">
      <x v="2"/>
    </i>
    <i>
      <x v="6"/>
    </i>
    <i r="1">
      <x/>
    </i>
    <i r="1">
      <x v="3"/>
    </i>
    <i r="1">
      <x v="5"/>
    </i>
    <i t="grand">
      <x/>
    </i>
  </rowItems>
  <colItems count="1">
    <i/>
  </colItems>
  <dataFields count="1">
    <dataField name="Average of gross_earnings" fld="5" subtotal="average" baseField="1" baseItem="0"/>
  </dataFields>
  <formats count="8">
    <format dxfId="7">
      <pivotArea collapsedLevelsAreSubtotals="1" fieldPosition="0">
        <references count="1">
          <reference field="1" count="0"/>
        </references>
      </pivotArea>
    </format>
    <format dxfId="6">
      <pivotArea grandRow="1" outline="0" collapsedLevelsAreSubtotals="1" fieldPosition="0"/>
    </format>
    <format dxfId="5">
      <pivotArea collapsedLevelsAreSubtotals="1" fieldPosition="0">
        <references count="1">
          <reference field="13" count="1">
            <x v="5"/>
          </reference>
        </references>
      </pivotArea>
    </format>
    <format dxfId="4">
      <pivotArea collapsedLevelsAreSubtotals="1" fieldPosition="0">
        <references count="2">
          <reference field="1" count="4">
            <x v="0"/>
            <x v="3"/>
            <x v="4"/>
            <x v="5"/>
          </reference>
          <reference field="13" count="1" selected="0">
            <x v="5"/>
          </reference>
        </references>
      </pivotArea>
    </format>
    <format dxfId="3">
      <pivotArea collapsedLevelsAreSubtotals="1" fieldPosition="0">
        <references count="1">
          <reference field="13" count="1">
            <x v="0"/>
          </reference>
        </references>
      </pivotArea>
    </format>
    <format dxfId="2">
      <pivotArea collapsedLevelsAreSubtotals="1" fieldPosition="0">
        <references count="2">
          <reference field="1" count="4">
            <x v="0"/>
            <x v="2"/>
            <x v="3"/>
            <x v="5"/>
          </reference>
          <reference field="13" count="1" selected="0">
            <x v="0"/>
          </reference>
        </references>
      </pivotArea>
    </format>
    <format dxfId="1">
      <pivotArea collapsedLevelsAreSubtotals="1" fieldPosition="0">
        <references count="1">
          <reference field="13" count="1">
            <x v="6"/>
          </reference>
        </references>
      </pivotArea>
    </format>
    <format dxfId="0">
      <pivotArea collapsedLevelsAreSubtotals="1" fieldPosition="0">
        <references count="2">
          <reference field="1" count="3">
            <x v="0"/>
            <x v="3"/>
            <x v="5"/>
          </reference>
          <reference field="13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CB9C1-917E-47E4-81A6-56612A90C1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 of Week">
  <location ref="A3:B11" firstHeaderRow="1" firstDataRow="1" firstDataCol="1"/>
  <pivotFields count="13">
    <pivotField numFmtId="14" showAll="0"/>
    <pivotField showAll="0"/>
    <pivotField numFmtId="21" showAll="0"/>
    <pivotField numFmtId="2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5"/>
        <item x="6"/>
        <item x="1"/>
        <item x="2"/>
        <item x="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_earning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D2FB8-DE7E-4294-8A5A-5D8E0494088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7">
    <pivotField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numFmtId="21" showAll="0"/>
    <pivotField numFmtId="2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0"/>
        <item x="5"/>
        <item x="6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8">
    <i>
      <x/>
    </i>
    <i>
      <x v="5"/>
    </i>
    <i>
      <x v="6"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gross_earning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4A8DF-0B41-471A-A6C2-3402DE70575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7">
    <pivotField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numFmtId="21" showAll="0"/>
    <pivotField numFmtId="21"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8">
        <item x="4"/>
        <item h="1" x="0"/>
        <item h="1" x="5"/>
        <item h="1" x="6"/>
        <item h="1"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3"/>
  </rowFields>
  <rowItems count="21">
    <i>
      <x v="1"/>
    </i>
    <i r="1">
      <x/>
    </i>
    <i r="1">
      <x v="5"/>
    </i>
    <i r="1">
      <x v="6"/>
    </i>
    <i>
      <x/>
    </i>
    <i r="1">
      <x/>
    </i>
    <i r="1">
      <x v="5"/>
    </i>
    <i r="1">
      <x v="6"/>
    </i>
    <i>
      <x v="2"/>
    </i>
    <i r="1">
      <x/>
    </i>
    <i r="1">
      <x v="5"/>
    </i>
    <i r="1">
      <x v="6"/>
    </i>
    <i>
      <x v="3"/>
    </i>
    <i r="1">
      <x/>
    </i>
    <i r="1">
      <x v="5"/>
    </i>
    <i r="1">
      <x v="6"/>
    </i>
    <i>
      <x v="4"/>
    </i>
    <i r="1">
      <x/>
    </i>
    <i r="1">
      <x v="5"/>
    </i>
    <i r="1">
      <x v="6"/>
    </i>
    <i t="grand">
      <x/>
    </i>
  </rowItems>
  <colItems count="1">
    <i/>
  </colItems>
  <dataFields count="1">
    <dataField name="Sum of gross_earning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1D34-9BCB-4641-AB9A-4F3D7F0F3CD8}">
  <dimension ref="A3:C122"/>
  <sheetViews>
    <sheetView topLeftCell="A5" workbookViewId="0">
      <selection activeCell="B4" sqref="B4:B35"/>
    </sheetView>
  </sheetViews>
  <sheetFormatPr defaultRowHeight="14.4" x14ac:dyDescent="0.3"/>
  <cols>
    <col min="1" max="1" width="12.44140625" bestFit="1" customWidth="1"/>
    <col min="2" max="2" width="18.6640625" bestFit="1" customWidth="1"/>
    <col min="3" max="3" width="19.33203125" bestFit="1" customWidth="1"/>
  </cols>
  <sheetData>
    <row r="3" spans="1:3" x14ac:dyDescent="0.3">
      <c r="A3" s="3" t="s">
        <v>51</v>
      </c>
      <c r="B3" t="s">
        <v>69</v>
      </c>
      <c r="C3" t="s">
        <v>50</v>
      </c>
    </row>
    <row r="4" spans="1:3" x14ac:dyDescent="0.3">
      <c r="A4" s="9">
        <v>45964</v>
      </c>
      <c r="B4">
        <v>7</v>
      </c>
      <c r="C4">
        <v>70.739999999999995</v>
      </c>
    </row>
    <row r="5" spans="1:3" x14ac:dyDescent="0.3">
      <c r="A5" s="9">
        <v>45967</v>
      </c>
      <c r="B5">
        <v>6.25</v>
      </c>
      <c r="C5">
        <v>64.67</v>
      </c>
    </row>
    <row r="6" spans="1:3" x14ac:dyDescent="0.3">
      <c r="A6" s="9">
        <v>45968</v>
      </c>
      <c r="B6">
        <v>5.25</v>
      </c>
      <c r="C6">
        <v>52.87</v>
      </c>
    </row>
    <row r="7" spans="1:3" x14ac:dyDescent="0.3">
      <c r="A7" s="9">
        <v>45969</v>
      </c>
      <c r="B7">
        <v>5</v>
      </c>
      <c r="C7">
        <v>43.73</v>
      </c>
    </row>
    <row r="8" spans="1:3" x14ac:dyDescent="0.3">
      <c r="A8" s="9">
        <v>45970</v>
      </c>
      <c r="B8">
        <v>5.5</v>
      </c>
      <c r="C8">
        <v>44.78</v>
      </c>
    </row>
    <row r="9" spans="1:3" x14ac:dyDescent="0.3">
      <c r="A9" s="9">
        <v>45975</v>
      </c>
      <c r="B9">
        <v>7.75</v>
      </c>
      <c r="C9">
        <v>70.59</v>
      </c>
    </row>
    <row r="10" spans="1:3" x14ac:dyDescent="0.3">
      <c r="A10" s="9">
        <v>45976</v>
      </c>
      <c r="B10">
        <v>6.75</v>
      </c>
      <c r="C10">
        <v>75.849999999999994</v>
      </c>
    </row>
    <row r="11" spans="1:3" x14ac:dyDescent="0.3">
      <c r="A11" s="9">
        <v>45977</v>
      </c>
      <c r="B11">
        <v>7</v>
      </c>
      <c r="C11">
        <v>59.22</v>
      </c>
    </row>
    <row r="12" spans="1:3" x14ac:dyDescent="0.3">
      <c r="A12" s="9">
        <v>45982</v>
      </c>
      <c r="B12">
        <v>6.75</v>
      </c>
      <c r="C12">
        <v>74.08</v>
      </c>
    </row>
    <row r="13" spans="1:3" x14ac:dyDescent="0.3">
      <c r="A13" s="9">
        <v>45983</v>
      </c>
      <c r="B13">
        <v>5.75</v>
      </c>
      <c r="C13">
        <v>50.13</v>
      </c>
    </row>
    <row r="14" spans="1:3" x14ac:dyDescent="0.3">
      <c r="A14" s="9">
        <v>45984</v>
      </c>
      <c r="B14">
        <v>6.75</v>
      </c>
      <c r="C14">
        <v>64.209999999999994</v>
      </c>
    </row>
    <row r="15" spans="1:3" x14ac:dyDescent="0.3">
      <c r="A15" s="9">
        <v>45991</v>
      </c>
      <c r="B15">
        <v>6.75</v>
      </c>
      <c r="C15">
        <v>45.14</v>
      </c>
    </row>
    <row r="16" spans="1:3" x14ac:dyDescent="0.3">
      <c r="A16" s="9">
        <v>45993</v>
      </c>
      <c r="B16">
        <v>6</v>
      </c>
      <c r="C16">
        <v>58.9</v>
      </c>
    </row>
    <row r="17" spans="1:3" x14ac:dyDescent="0.3">
      <c r="A17" s="9">
        <v>45994</v>
      </c>
      <c r="B17">
        <v>6</v>
      </c>
      <c r="C17">
        <v>52.21</v>
      </c>
    </row>
    <row r="18" spans="1:3" x14ac:dyDescent="0.3">
      <c r="A18" s="9">
        <v>45996</v>
      </c>
      <c r="B18">
        <v>5.5</v>
      </c>
      <c r="C18">
        <v>52.13</v>
      </c>
    </row>
    <row r="19" spans="1:3" x14ac:dyDescent="0.3">
      <c r="A19" s="9">
        <v>45997</v>
      </c>
      <c r="B19">
        <v>6</v>
      </c>
      <c r="C19">
        <v>63.92</v>
      </c>
    </row>
    <row r="20" spans="1:3" x14ac:dyDescent="0.3">
      <c r="A20" s="9">
        <v>45998</v>
      </c>
      <c r="B20">
        <v>5.5</v>
      </c>
      <c r="C20">
        <v>57.07</v>
      </c>
    </row>
    <row r="21" spans="1:3" x14ac:dyDescent="0.3">
      <c r="A21" s="9">
        <v>46000</v>
      </c>
      <c r="B21">
        <v>6</v>
      </c>
      <c r="C21">
        <v>53.45</v>
      </c>
    </row>
    <row r="22" spans="1:3" x14ac:dyDescent="0.3">
      <c r="A22" s="9">
        <v>46004</v>
      </c>
      <c r="B22">
        <v>6.75</v>
      </c>
      <c r="C22">
        <v>50.43</v>
      </c>
    </row>
    <row r="23" spans="1:3" x14ac:dyDescent="0.3">
      <c r="A23" s="9">
        <v>46005</v>
      </c>
      <c r="B23">
        <v>5.25</v>
      </c>
      <c r="C23">
        <v>32.409999999999997</v>
      </c>
    </row>
    <row r="24" spans="1:3" x14ac:dyDescent="0.3">
      <c r="A24" s="9">
        <v>46010</v>
      </c>
      <c r="B24">
        <v>6.75</v>
      </c>
      <c r="C24">
        <v>69.72</v>
      </c>
    </row>
    <row r="25" spans="1:3" x14ac:dyDescent="0.3">
      <c r="A25" s="9">
        <v>46011</v>
      </c>
      <c r="B25">
        <v>7.25</v>
      </c>
      <c r="C25">
        <v>62.01</v>
      </c>
    </row>
    <row r="26" spans="1:3" x14ac:dyDescent="0.3">
      <c r="A26" s="9">
        <v>46012</v>
      </c>
      <c r="B26">
        <v>7.25</v>
      </c>
      <c r="C26">
        <v>89.24</v>
      </c>
    </row>
    <row r="27" spans="1:3" x14ac:dyDescent="0.3">
      <c r="A27" s="9">
        <v>46018</v>
      </c>
      <c r="B27">
        <v>6</v>
      </c>
      <c r="C27">
        <v>46.04</v>
      </c>
    </row>
    <row r="28" spans="1:3" x14ac:dyDescent="0.3">
      <c r="A28" s="9">
        <v>46019</v>
      </c>
      <c r="B28">
        <v>7</v>
      </c>
      <c r="C28">
        <v>69.7</v>
      </c>
    </row>
    <row r="29" spans="1:3" x14ac:dyDescent="0.3">
      <c r="A29" s="9">
        <v>46021</v>
      </c>
      <c r="B29">
        <v>5.75</v>
      </c>
      <c r="C29">
        <v>53.4</v>
      </c>
    </row>
    <row r="30" spans="1:3" x14ac:dyDescent="0.3">
      <c r="A30" s="9">
        <v>46022</v>
      </c>
      <c r="B30">
        <v>6</v>
      </c>
      <c r="C30">
        <v>46.67</v>
      </c>
    </row>
    <row r="31" spans="1:3" x14ac:dyDescent="0.3">
      <c r="A31" s="9">
        <v>46025</v>
      </c>
      <c r="B31">
        <v>5.25</v>
      </c>
      <c r="C31">
        <v>77.66</v>
      </c>
    </row>
    <row r="32" spans="1:3" x14ac:dyDescent="0.3">
      <c r="A32" s="9">
        <v>46026</v>
      </c>
      <c r="B32">
        <v>5.5</v>
      </c>
      <c r="C32">
        <v>54.81</v>
      </c>
    </row>
    <row r="33" spans="1:3" x14ac:dyDescent="0.3">
      <c r="A33" s="9">
        <v>46030</v>
      </c>
      <c r="B33">
        <v>4.5</v>
      </c>
      <c r="C33">
        <v>43.39</v>
      </c>
    </row>
    <row r="34" spans="1:3" x14ac:dyDescent="0.3">
      <c r="A34" s="9">
        <v>46031</v>
      </c>
      <c r="B34">
        <v>5.5</v>
      </c>
      <c r="C34">
        <v>61.67</v>
      </c>
    </row>
    <row r="35" spans="1:3" x14ac:dyDescent="0.3">
      <c r="A35" s="9">
        <v>46033</v>
      </c>
      <c r="B35">
        <v>5</v>
      </c>
      <c r="C35">
        <v>53.75</v>
      </c>
    </row>
    <row r="36" spans="1:3" x14ac:dyDescent="0.3">
      <c r="A36" s="9">
        <v>46037</v>
      </c>
      <c r="B36">
        <v>4.75</v>
      </c>
      <c r="C36">
        <v>61.97</v>
      </c>
    </row>
    <row r="37" spans="1:3" x14ac:dyDescent="0.3">
      <c r="A37" s="9">
        <v>46046</v>
      </c>
      <c r="B37">
        <v>5.5</v>
      </c>
      <c r="C37">
        <v>81.02</v>
      </c>
    </row>
    <row r="38" spans="1:3" x14ac:dyDescent="0.3">
      <c r="A38" s="9">
        <v>46047</v>
      </c>
      <c r="B38">
        <v>6</v>
      </c>
      <c r="C38">
        <v>65.27</v>
      </c>
    </row>
    <row r="39" spans="1:3" x14ac:dyDescent="0.3">
      <c r="A39" s="9">
        <v>46052</v>
      </c>
      <c r="B39">
        <v>5.25</v>
      </c>
      <c r="C39">
        <v>69.89</v>
      </c>
    </row>
    <row r="40" spans="1:3" x14ac:dyDescent="0.3">
      <c r="A40" s="9">
        <v>46053</v>
      </c>
      <c r="B40">
        <v>4.75</v>
      </c>
      <c r="C40">
        <v>60.98</v>
      </c>
    </row>
    <row r="41" spans="1:3" x14ac:dyDescent="0.3">
      <c r="A41" s="9">
        <v>46059</v>
      </c>
      <c r="B41">
        <v>5.5</v>
      </c>
      <c r="C41">
        <v>60.14</v>
      </c>
    </row>
    <row r="42" spans="1:3" x14ac:dyDescent="0.3">
      <c r="A42" s="9">
        <v>46060</v>
      </c>
      <c r="B42">
        <v>5.75</v>
      </c>
      <c r="C42">
        <v>75.569999999999993</v>
      </c>
    </row>
    <row r="43" spans="1:3" x14ac:dyDescent="0.3">
      <c r="A43" s="9">
        <v>46061</v>
      </c>
      <c r="B43">
        <v>4.75</v>
      </c>
      <c r="C43">
        <v>69.27</v>
      </c>
    </row>
    <row r="44" spans="1:3" x14ac:dyDescent="0.3">
      <c r="A44" s="9">
        <v>46062</v>
      </c>
      <c r="B44">
        <v>5.25</v>
      </c>
      <c r="C44">
        <v>81.11</v>
      </c>
    </row>
    <row r="45" spans="1:3" x14ac:dyDescent="0.3">
      <c r="A45" s="9">
        <v>46064</v>
      </c>
      <c r="B45">
        <v>6.25</v>
      </c>
      <c r="C45">
        <v>54.62</v>
      </c>
    </row>
    <row r="46" spans="1:3" x14ac:dyDescent="0.3">
      <c r="A46" s="9">
        <v>46066</v>
      </c>
      <c r="B46">
        <v>5.75</v>
      </c>
      <c r="C46">
        <v>83.89</v>
      </c>
    </row>
    <row r="47" spans="1:3" x14ac:dyDescent="0.3">
      <c r="A47" s="9">
        <v>46068</v>
      </c>
      <c r="B47">
        <v>5.5</v>
      </c>
      <c r="C47">
        <v>54.79</v>
      </c>
    </row>
    <row r="48" spans="1:3" x14ac:dyDescent="0.3">
      <c r="A48" s="9">
        <v>46073</v>
      </c>
      <c r="B48">
        <v>5.25</v>
      </c>
      <c r="C48">
        <v>78.959999999999994</v>
      </c>
    </row>
    <row r="49" spans="1:3" x14ac:dyDescent="0.3">
      <c r="A49" s="9">
        <v>46074</v>
      </c>
      <c r="B49">
        <v>4.25</v>
      </c>
      <c r="C49">
        <v>53.39</v>
      </c>
    </row>
    <row r="50" spans="1:3" x14ac:dyDescent="0.3">
      <c r="A50" s="9">
        <v>46076</v>
      </c>
      <c r="B50">
        <v>5</v>
      </c>
      <c r="C50">
        <v>58.59</v>
      </c>
    </row>
    <row r="51" spans="1:3" x14ac:dyDescent="0.3">
      <c r="A51" s="9">
        <v>46080</v>
      </c>
      <c r="B51">
        <v>5.5</v>
      </c>
      <c r="C51">
        <v>49.03</v>
      </c>
    </row>
    <row r="52" spans="1:3" x14ac:dyDescent="0.3">
      <c r="A52" s="9">
        <v>46082</v>
      </c>
      <c r="B52">
        <v>5.75</v>
      </c>
      <c r="C52">
        <v>71.34</v>
      </c>
    </row>
    <row r="53" spans="1:3" x14ac:dyDescent="0.3">
      <c r="A53" s="9">
        <v>46086</v>
      </c>
      <c r="B53">
        <v>4.5</v>
      </c>
      <c r="C53">
        <v>60.07</v>
      </c>
    </row>
    <row r="54" spans="1:3" x14ac:dyDescent="0.3">
      <c r="A54" s="9">
        <v>46087</v>
      </c>
      <c r="B54">
        <v>5.25</v>
      </c>
      <c r="C54">
        <v>70.239999999999995</v>
      </c>
    </row>
    <row r="55" spans="1:3" x14ac:dyDescent="0.3">
      <c r="A55" s="9">
        <v>46088</v>
      </c>
      <c r="B55">
        <v>4.5</v>
      </c>
      <c r="C55">
        <v>48.32</v>
      </c>
    </row>
    <row r="56" spans="1:3" x14ac:dyDescent="0.3">
      <c r="A56" s="9">
        <v>46089</v>
      </c>
      <c r="B56">
        <v>5.25</v>
      </c>
      <c r="C56">
        <v>81.709999999999994</v>
      </c>
    </row>
    <row r="57" spans="1:3" x14ac:dyDescent="0.3">
      <c r="A57" s="9">
        <v>46092</v>
      </c>
      <c r="B57">
        <v>6</v>
      </c>
      <c r="C57">
        <v>65.03</v>
      </c>
    </row>
    <row r="58" spans="1:3" x14ac:dyDescent="0.3">
      <c r="A58" s="9">
        <v>46094</v>
      </c>
      <c r="B58">
        <v>4.25</v>
      </c>
      <c r="C58">
        <v>72.47</v>
      </c>
    </row>
    <row r="59" spans="1:3" x14ac:dyDescent="0.3">
      <c r="A59" s="9">
        <v>46095</v>
      </c>
      <c r="B59">
        <v>3.5</v>
      </c>
      <c r="C59">
        <v>51.83</v>
      </c>
    </row>
    <row r="60" spans="1:3" x14ac:dyDescent="0.3">
      <c r="A60" s="9">
        <v>46096</v>
      </c>
      <c r="B60">
        <v>4.75</v>
      </c>
      <c r="C60">
        <v>84.44</v>
      </c>
    </row>
    <row r="61" spans="1:3" x14ac:dyDescent="0.3">
      <c r="A61" s="9">
        <v>46100</v>
      </c>
      <c r="B61">
        <v>3.5</v>
      </c>
      <c r="C61">
        <v>55.45</v>
      </c>
    </row>
    <row r="62" spans="1:3" x14ac:dyDescent="0.3">
      <c r="A62" s="9">
        <v>46101</v>
      </c>
      <c r="B62">
        <v>4</v>
      </c>
      <c r="C62">
        <v>79.94</v>
      </c>
    </row>
    <row r="63" spans="1:3" x14ac:dyDescent="0.3">
      <c r="A63" s="9">
        <v>46102</v>
      </c>
      <c r="B63">
        <v>4</v>
      </c>
      <c r="C63">
        <v>74.349999999999994</v>
      </c>
    </row>
    <row r="64" spans="1:3" x14ac:dyDescent="0.3">
      <c r="A64" s="9">
        <v>46103</v>
      </c>
      <c r="B64">
        <v>3.25</v>
      </c>
      <c r="C64">
        <v>58.46</v>
      </c>
    </row>
    <row r="65" spans="1:3" x14ac:dyDescent="0.3">
      <c r="A65" s="9">
        <v>46107</v>
      </c>
      <c r="B65">
        <v>3</v>
      </c>
      <c r="C65">
        <v>42.95</v>
      </c>
    </row>
    <row r="66" spans="1:3" x14ac:dyDescent="0.3">
      <c r="A66" s="9">
        <v>46108</v>
      </c>
      <c r="B66">
        <v>4.75</v>
      </c>
      <c r="C66">
        <v>67.78</v>
      </c>
    </row>
    <row r="67" spans="1:3" x14ac:dyDescent="0.3">
      <c r="A67" s="9">
        <v>46109</v>
      </c>
      <c r="B67">
        <v>4.75</v>
      </c>
      <c r="C67">
        <v>84.8</v>
      </c>
    </row>
    <row r="68" spans="1:3" x14ac:dyDescent="0.3">
      <c r="A68" s="9">
        <v>46110</v>
      </c>
      <c r="B68">
        <v>4</v>
      </c>
      <c r="C68">
        <v>68.92</v>
      </c>
    </row>
    <row r="69" spans="1:3" x14ac:dyDescent="0.3">
      <c r="A69" s="9">
        <v>46117</v>
      </c>
      <c r="B69">
        <v>3.5</v>
      </c>
      <c r="C69">
        <v>62.56</v>
      </c>
    </row>
    <row r="70" spans="1:3" x14ac:dyDescent="0.3">
      <c r="A70" s="9">
        <v>46121</v>
      </c>
      <c r="B70">
        <v>3.5</v>
      </c>
      <c r="C70">
        <v>41.87</v>
      </c>
    </row>
    <row r="71" spans="1:3" x14ac:dyDescent="0.3">
      <c r="A71" s="9">
        <v>46123</v>
      </c>
      <c r="B71">
        <v>3.75</v>
      </c>
      <c r="C71">
        <v>58.55</v>
      </c>
    </row>
    <row r="72" spans="1:3" x14ac:dyDescent="0.3">
      <c r="A72" s="9">
        <v>46126</v>
      </c>
      <c r="B72">
        <v>4.25</v>
      </c>
      <c r="C72">
        <v>59.95</v>
      </c>
    </row>
    <row r="73" spans="1:3" x14ac:dyDescent="0.3">
      <c r="A73" s="9">
        <v>46127</v>
      </c>
      <c r="B73">
        <v>4.25</v>
      </c>
      <c r="C73">
        <v>63.86</v>
      </c>
    </row>
    <row r="74" spans="1:3" x14ac:dyDescent="0.3">
      <c r="A74" s="9">
        <v>46129</v>
      </c>
      <c r="B74">
        <v>5</v>
      </c>
      <c r="C74">
        <v>78.84</v>
      </c>
    </row>
    <row r="75" spans="1:3" x14ac:dyDescent="0.3">
      <c r="A75" s="9">
        <v>46130</v>
      </c>
      <c r="B75">
        <v>3.75</v>
      </c>
      <c r="C75">
        <v>67.739999999999995</v>
      </c>
    </row>
    <row r="76" spans="1:3" x14ac:dyDescent="0.3">
      <c r="A76" s="9">
        <v>46131</v>
      </c>
      <c r="B76">
        <v>4.75</v>
      </c>
      <c r="C76">
        <v>80.13</v>
      </c>
    </row>
    <row r="77" spans="1:3" x14ac:dyDescent="0.3">
      <c r="A77" s="9">
        <v>46132</v>
      </c>
      <c r="B77">
        <v>4.5</v>
      </c>
      <c r="C77">
        <v>80.78</v>
      </c>
    </row>
    <row r="78" spans="1:3" x14ac:dyDescent="0.3">
      <c r="A78" s="9">
        <v>46134</v>
      </c>
      <c r="B78">
        <v>3.75</v>
      </c>
      <c r="C78">
        <v>59.07</v>
      </c>
    </row>
    <row r="79" spans="1:3" x14ac:dyDescent="0.3">
      <c r="A79" s="9">
        <v>46135</v>
      </c>
      <c r="B79">
        <v>4.5</v>
      </c>
      <c r="C79">
        <v>53.3</v>
      </c>
    </row>
    <row r="80" spans="1:3" x14ac:dyDescent="0.3">
      <c r="A80" s="9">
        <v>46136</v>
      </c>
      <c r="B80">
        <v>4.25</v>
      </c>
      <c r="C80">
        <v>60.94</v>
      </c>
    </row>
    <row r="81" spans="1:3" x14ac:dyDescent="0.3">
      <c r="A81" s="9">
        <v>46138</v>
      </c>
      <c r="B81">
        <v>4.25</v>
      </c>
      <c r="C81">
        <v>84.67</v>
      </c>
    </row>
    <row r="82" spans="1:3" x14ac:dyDescent="0.3">
      <c r="A82" s="9">
        <v>46141</v>
      </c>
      <c r="B82">
        <v>4.5</v>
      </c>
      <c r="C82">
        <v>62.14</v>
      </c>
    </row>
    <row r="83" spans="1:3" x14ac:dyDescent="0.3">
      <c r="A83" s="9">
        <v>46142</v>
      </c>
      <c r="B83">
        <v>5.25</v>
      </c>
      <c r="C83">
        <v>79.03</v>
      </c>
    </row>
    <row r="84" spans="1:3" x14ac:dyDescent="0.3">
      <c r="A84" s="9">
        <v>46143</v>
      </c>
      <c r="B84">
        <v>4</v>
      </c>
      <c r="C84">
        <v>57.61</v>
      </c>
    </row>
    <row r="85" spans="1:3" x14ac:dyDescent="0.3">
      <c r="A85" s="9">
        <v>46144</v>
      </c>
      <c r="B85">
        <v>3.75</v>
      </c>
      <c r="C85">
        <v>59.67</v>
      </c>
    </row>
    <row r="86" spans="1:3" x14ac:dyDescent="0.3">
      <c r="A86" s="9">
        <v>46145</v>
      </c>
      <c r="B86">
        <v>3.5</v>
      </c>
      <c r="C86">
        <v>64.709999999999994</v>
      </c>
    </row>
    <row r="87" spans="1:3" x14ac:dyDescent="0.3">
      <c r="A87" s="9">
        <v>46148</v>
      </c>
      <c r="B87">
        <v>3.5</v>
      </c>
      <c r="C87">
        <v>63.18</v>
      </c>
    </row>
    <row r="88" spans="1:3" x14ac:dyDescent="0.3">
      <c r="A88" s="9">
        <v>46150</v>
      </c>
      <c r="B88">
        <v>4.25</v>
      </c>
      <c r="C88">
        <v>80.13</v>
      </c>
    </row>
    <row r="89" spans="1:3" x14ac:dyDescent="0.3">
      <c r="A89" s="9">
        <v>46151</v>
      </c>
      <c r="B89">
        <v>4.5</v>
      </c>
      <c r="C89">
        <v>86.23</v>
      </c>
    </row>
    <row r="90" spans="1:3" x14ac:dyDescent="0.3">
      <c r="A90" s="9">
        <v>46156</v>
      </c>
      <c r="B90">
        <v>4.75</v>
      </c>
      <c r="C90">
        <v>65.739999999999995</v>
      </c>
    </row>
    <row r="91" spans="1:3" x14ac:dyDescent="0.3">
      <c r="A91" s="9">
        <v>46157</v>
      </c>
      <c r="B91">
        <v>5</v>
      </c>
      <c r="C91">
        <v>91.43</v>
      </c>
    </row>
    <row r="92" spans="1:3" x14ac:dyDescent="0.3">
      <c r="A92" s="9">
        <v>46163</v>
      </c>
      <c r="B92">
        <v>4</v>
      </c>
      <c r="C92">
        <v>85.35</v>
      </c>
    </row>
    <row r="93" spans="1:3" x14ac:dyDescent="0.3">
      <c r="A93" s="9">
        <v>46164</v>
      </c>
      <c r="B93">
        <v>3.5</v>
      </c>
      <c r="C93">
        <v>69.2</v>
      </c>
    </row>
    <row r="94" spans="1:3" x14ac:dyDescent="0.3">
      <c r="A94" s="9">
        <v>46166</v>
      </c>
      <c r="B94">
        <v>3.75</v>
      </c>
      <c r="C94">
        <v>85.23</v>
      </c>
    </row>
    <row r="95" spans="1:3" x14ac:dyDescent="0.3">
      <c r="A95" s="9">
        <v>46168</v>
      </c>
      <c r="B95">
        <v>4</v>
      </c>
      <c r="C95">
        <v>73.05</v>
      </c>
    </row>
    <row r="96" spans="1:3" x14ac:dyDescent="0.3">
      <c r="A96" s="9">
        <v>46170</v>
      </c>
      <c r="B96">
        <v>3.25</v>
      </c>
      <c r="C96">
        <v>69.63</v>
      </c>
    </row>
    <row r="97" spans="1:3" x14ac:dyDescent="0.3">
      <c r="A97" s="9">
        <v>46172</v>
      </c>
      <c r="B97">
        <v>3.25</v>
      </c>
      <c r="C97">
        <v>59.36</v>
      </c>
    </row>
    <row r="98" spans="1:3" x14ac:dyDescent="0.3">
      <c r="A98" s="9">
        <v>46173</v>
      </c>
      <c r="B98">
        <v>2.75</v>
      </c>
      <c r="C98">
        <v>51.33</v>
      </c>
    </row>
    <row r="99" spans="1:3" x14ac:dyDescent="0.3">
      <c r="A99" s="9">
        <v>46176</v>
      </c>
      <c r="B99">
        <v>3.75</v>
      </c>
      <c r="C99">
        <v>75.55</v>
      </c>
    </row>
    <row r="100" spans="1:3" x14ac:dyDescent="0.3">
      <c r="A100" s="9">
        <v>46180</v>
      </c>
      <c r="B100">
        <v>3.25</v>
      </c>
      <c r="C100">
        <v>63.42</v>
      </c>
    </row>
    <row r="101" spans="1:3" x14ac:dyDescent="0.3">
      <c r="A101" s="9">
        <v>46183</v>
      </c>
      <c r="B101">
        <v>2.75</v>
      </c>
      <c r="C101">
        <v>53.76</v>
      </c>
    </row>
    <row r="102" spans="1:3" x14ac:dyDescent="0.3">
      <c r="A102" s="9">
        <v>46185</v>
      </c>
      <c r="B102">
        <v>3.5</v>
      </c>
      <c r="C102">
        <v>62.3</v>
      </c>
    </row>
    <row r="103" spans="1:3" x14ac:dyDescent="0.3">
      <c r="A103" s="9">
        <v>46187</v>
      </c>
      <c r="B103">
        <v>4</v>
      </c>
      <c r="C103">
        <v>76.13</v>
      </c>
    </row>
    <row r="104" spans="1:3" x14ac:dyDescent="0.3">
      <c r="A104" s="9">
        <v>46189</v>
      </c>
      <c r="B104">
        <v>4.75</v>
      </c>
      <c r="C104">
        <v>86.36</v>
      </c>
    </row>
    <row r="105" spans="1:3" x14ac:dyDescent="0.3">
      <c r="A105" s="9">
        <v>46192</v>
      </c>
      <c r="B105">
        <v>4.25</v>
      </c>
      <c r="C105">
        <v>93.5</v>
      </c>
    </row>
    <row r="106" spans="1:3" x14ac:dyDescent="0.3">
      <c r="A106" s="9">
        <v>46193</v>
      </c>
      <c r="B106">
        <v>3.25</v>
      </c>
      <c r="C106">
        <v>68.41</v>
      </c>
    </row>
    <row r="107" spans="1:3" x14ac:dyDescent="0.3">
      <c r="A107" s="9">
        <v>46194</v>
      </c>
      <c r="B107">
        <v>4.5</v>
      </c>
      <c r="C107">
        <v>90.49</v>
      </c>
    </row>
    <row r="108" spans="1:3" x14ac:dyDescent="0.3">
      <c r="A108" s="9">
        <v>46198</v>
      </c>
      <c r="B108">
        <v>3.75</v>
      </c>
      <c r="C108">
        <v>65.010000000000005</v>
      </c>
    </row>
    <row r="109" spans="1:3" x14ac:dyDescent="0.3">
      <c r="A109" s="9">
        <v>46199</v>
      </c>
      <c r="B109">
        <v>2.75</v>
      </c>
      <c r="C109">
        <v>54.64</v>
      </c>
    </row>
    <row r="110" spans="1:3" x14ac:dyDescent="0.3">
      <c r="A110" s="9">
        <v>46200</v>
      </c>
      <c r="B110">
        <v>3.5</v>
      </c>
      <c r="C110">
        <v>60.87</v>
      </c>
    </row>
    <row r="111" spans="1:3" x14ac:dyDescent="0.3">
      <c r="A111" s="9">
        <v>46201</v>
      </c>
      <c r="B111">
        <v>3.75</v>
      </c>
      <c r="C111">
        <v>79.209999999999994</v>
      </c>
    </row>
    <row r="112" spans="1:3" x14ac:dyDescent="0.3">
      <c r="A112" s="9">
        <v>46202</v>
      </c>
      <c r="B112">
        <v>4.75</v>
      </c>
      <c r="C112">
        <v>95.04</v>
      </c>
    </row>
    <row r="113" spans="1:3" x14ac:dyDescent="0.3">
      <c r="A113" s="9">
        <v>46204</v>
      </c>
      <c r="B113">
        <v>3</v>
      </c>
      <c r="C113">
        <v>65.66</v>
      </c>
    </row>
    <row r="114" spans="1:3" x14ac:dyDescent="0.3">
      <c r="A114" s="9">
        <v>46206</v>
      </c>
      <c r="B114">
        <v>4.5</v>
      </c>
      <c r="C114">
        <v>96.44</v>
      </c>
    </row>
    <row r="115" spans="1:3" x14ac:dyDescent="0.3">
      <c r="A115" s="9">
        <v>46208</v>
      </c>
      <c r="B115">
        <v>3.75</v>
      </c>
      <c r="C115">
        <v>78.03</v>
      </c>
    </row>
    <row r="116" spans="1:3" x14ac:dyDescent="0.3">
      <c r="A116" s="9">
        <v>46213</v>
      </c>
      <c r="B116">
        <v>3</v>
      </c>
      <c r="C116">
        <v>58.37</v>
      </c>
    </row>
    <row r="117" spans="1:3" x14ac:dyDescent="0.3">
      <c r="A117" s="9">
        <v>46214</v>
      </c>
      <c r="B117">
        <v>3</v>
      </c>
      <c r="C117">
        <v>61.89</v>
      </c>
    </row>
    <row r="118" spans="1:3" x14ac:dyDescent="0.3">
      <c r="A118" s="9">
        <v>46215</v>
      </c>
      <c r="B118">
        <v>2.75</v>
      </c>
      <c r="C118">
        <v>56.87</v>
      </c>
    </row>
    <row r="119" spans="1:3" x14ac:dyDescent="0.3">
      <c r="A119" s="9">
        <v>46220</v>
      </c>
      <c r="B119">
        <v>4</v>
      </c>
      <c r="C119">
        <v>92.15</v>
      </c>
    </row>
    <row r="120" spans="1:3" x14ac:dyDescent="0.3">
      <c r="A120" s="9">
        <v>46221</v>
      </c>
      <c r="B120">
        <v>3</v>
      </c>
      <c r="C120">
        <v>57.09</v>
      </c>
    </row>
    <row r="121" spans="1:3" x14ac:dyDescent="0.3">
      <c r="A121" s="9">
        <v>46222</v>
      </c>
      <c r="B121">
        <v>3.5</v>
      </c>
      <c r="C121">
        <v>62.28</v>
      </c>
    </row>
    <row r="122" spans="1:3" x14ac:dyDescent="0.3">
      <c r="A122" s="9" t="s">
        <v>52</v>
      </c>
      <c r="B122">
        <v>559.75</v>
      </c>
      <c r="C122">
        <v>7769.9299999999994</v>
      </c>
    </row>
  </sheetData>
  <conditionalFormatting pivot="1" sqref="B4:B12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C4:C12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0637-2516-4226-94A0-9E1057BC83FA}">
  <dimension ref="A3:C4"/>
  <sheetViews>
    <sheetView workbookViewId="0">
      <selection activeCell="A4" sqref="A4"/>
    </sheetView>
  </sheetViews>
  <sheetFormatPr defaultRowHeight="14.4" x14ac:dyDescent="0.3"/>
  <cols>
    <col min="1" max="1" width="27.6640625" bestFit="1" customWidth="1"/>
    <col min="2" max="2" width="24.33203125" bestFit="1" customWidth="1"/>
    <col min="3" max="3" width="24" bestFit="1" customWidth="1"/>
  </cols>
  <sheetData>
    <row r="3" spans="1:3" x14ac:dyDescent="0.3">
      <c r="A3" t="s">
        <v>66</v>
      </c>
      <c r="B3" t="s">
        <v>67</v>
      </c>
      <c r="C3" t="s">
        <v>68</v>
      </c>
    </row>
    <row r="4" spans="1:3" x14ac:dyDescent="0.3">
      <c r="A4" s="6">
        <v>3.4528813559322047</v>
      </c>
      <c r="B4" s="6">
        <v>8.5500000000000007</v>
      </c>
      <c r="C4" s="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2D45-E192-4CAD-91C9-9B6A6E307092}">
  <dimension ref="A3:B18"/>
  <sheetViews>
    <sheetView workbookViewId="0">
      <selection activeCell="D11" sqref="D11"/>
    </sheetView>
  </sheetViews>
  <sheetFormatPr defaultRowHeight="14.4" x14ac:dyDescent="0.3"/>
  <cols>
    <col min="1" max="1" width="17.44140625" bestFit="1" customWidth="1"/>
    <col min="2" max="2" width="22.21875" bestFit="1" customWidth="1"/>
  </cols>
  <sheetData>
    <row r="3" spans="1:2" x14ac:dyDescent="0.3">
      <c r="A3" s="3" t="s">
        <v>65</v>
      </c>
      <c r="B3" t="s">
        <v>64</v>
      </c>
    </row>
    <row r="4" spans="1:2" x14ac:dyDescent="0.3">
      <c r="A4" s="4" t="s">
        <v>60</v>
      </c>
      <c r="B4" s="8">
        <v>70.701851851851842</v>
      </c>
    </row>
    <row r="5" spans="1:2" x14ac:dyDescent="0.3">
      <c r="A5" s="7" t="s">
        <v>42</v>
      </c>
      <c r="B5" s="8">
        <v>80.675000000000011</v>
      </c>
    </row>
    <row r="6" spans="1:2" x14ac:dyDescent="0.3">
      <c r="A6" s="7" t="s">
        <v>13</v>
      </c>
      <c r="B6" s="8">
        <v>74.220999999999989</v>
      </c>
    </row>
    <row r="7" spans="1:2" x14ac:dyDescent="0.3">
      <c r="A7" s="7" t="s">
        <v>20</v>
      </c>
      <c r="B7" s="8">
        <v>68.305000000000007</v>
      </c>
    </row>
    <row r="8" spans="1:2" x14ac:dyDescent="0.3">
      <c r="A8" s="7" t="s">
        <v>22</v>
      </c>
      <c r="B8" s="8">
        <v>65.564285714285717</v>
      </c>
    </row>
    <row r="9" spans="1:2" x14ac:dyDescent="0.3">
      <c r="A9" s="4" t="s">
        <v>55</v>
      </c>
      <c r="B9" s="8">
        <v>66.438387096774179</v>
      </c>
    </row>
    <row r="10" spans="1:2" x14ac:dyDescent="0.3">
      <c r="A10" s="7" t="s">
        <v>13</v>
      </c>
      <c r="B10" s="8">
        <v>70.641428571428577</v>
      </c>
    </row>
    <row r="11" spans="1:2" x14ac:dyDescent="0.3">
      <c r="A11" s="7" t="s">
        <v>22</v>
      </c>
      <c r="B11" s="8">
        <v>69.747142857142862</v>
      </c>
    </row>
    <row r="12" spans="1:2" x14ac:dyDescent="0.3">
      <c r="A12" s="7" t="s">
        <v>20</v>
      </c>
      <c r="B12" s="8">
        <v>66.64533333333334</v>
      </c>
    </row>
    <row r="13" spans="1:2" x14ac:dyDescent="0.3">
      <c r="A13" s="7" t="s">
        <v>25</v>
      </c>
      <c r="B13" s="8">
        <v>38.594999999999999</v>
      </c>
    </row>
    <row r="14" spans="1:2" x14ac:dyDescent="0.3">
      <c r="A14" s="4" t="s">
        <v>61</v>
      </c>
      <c r="B14" s="8">
        <v>63.193599999999996</v>
      </c>
    </row>
    <row r="15" spans="1:2" x14ac:dyDescent="0.3">
      <c r="A15" s="7" t="s">
        <v>13</v>
      </c>
      <c r="B15" s="8">
        <v>64.064999999999998</v>
      </c>
    </row>
    <row r="16" spans="1:2" x14ac:dyDescent="0.3">
      <c r="A16" s="7" t="s">
        <v>22</v>
      </c>
      <c r="B16" s="8">
        <v>63.344999999999999</v>
      </c>
    </row>
    <row r="17" spans="1:2" x14ac:dyDescent="0.3">
      <c r="A17" s="7" t="s">
        <v>20</v>
      </c>
      <c r="B17" s="8">
        <v>62.608181818181812</v>
      </c>
    </row>
    <row r="18" spans="1:2" x14ac:dyDescent="0.3">
      <c r="A18" s="4" t="s">
        <v>52</v>
      </c>
      <c r="B18" s="6">
        <v>66.84795180722891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857E-5429-4472-A1BF-EC4C5C8532AD}">
  <dimension ref="A3:B11"/>
  <sheetViews>
    <sheetView workbookViewId="0">
      <selection activeCell="C20" sqref="C20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3" spans="1:2" x14ac:dyDescent="0.3">
      <c r="A3" s="3" t="s">
        <v>53</v>
      </c>
      <c r="B3" t="s">
        <v>50</v>
      </c>
    </row>
    <row r="4" spans="1:2" x14ac:dyDescent="0.3">
      <c r="A4" s="4">
        <v>0</v>
      </c>
      <c r="B4">
        <v>2059.59</v>
      </c>
    </row>
    <row r="5" spans="1:2" x14ac:dyDescent="0.3">
      <c r="A5" s="4">
        <v>1</v>
      </c>
      <c r="B5">
        <v>386.26000000000005</v>
      </c>
    </row>
    <row r="6" spans="1:2" x14ac:dyDescent="0.3">
      <c r="A6" s="4">
        <v>2</v>
      </c>
      <c r="B6">
        <v>385.11</v>
      </c>
    </row>
    <row r="7" spans="1:2" x14ac:dyDescent="0.3">
      <c r="A7" s="4">
        <v>3</v>
      </c>
      <c r="B7">
        <v>661.74999999999989</v>
      </c>
    </row>
    <row r="8" spans="1:2" x14ac:dyDescent="0.3">
      <c r="A8" s="4">
        <v>4</v>
      </c>
      <c r="B8">
        <v>788.43000000000006</v>
      </c>
    </row>
    <row r="9" spans="1:2" x14ac:dyDescent="0.3">
      <c r="A9" s="4">
        <v>5</v>
      </c>
      <c r="B9">
        <v>1908.9500000000003</v>
      </c>
    </row>
    <row r="10" spans="1:2" x14ac:dyDescent="0.3">
      <c r="A10" s="4">
        <v>6</v>
      </c>
      <c r="B10">
        <v>1579.84</v>
      </c>
    </row>
    <row r="11" spans="1:2" x14ac:dyDescent="0.3">
      <c r="A11" s="4" t="s">
        <v>52</v>
      </c>
      <c r="B11">
        <v>7769.93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B881-8EB4-41D9-896D-4CDE333C8324}">
  <dimension ref="A3:B11"/>
  <sheetViews>
    <sheetView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3" spans="1:2" x14ac:dyDescent="0.3">
      <c r="A3" s="3" t="s">
        <v>51</v>
      </c>
      <c r="B3" t="s">
        <v>50</v>
      </c>
    </row>
    <row r="4" spans="1:2" x14ac:dyDescent="0.3">
      <c r="A4" s="4" t="s">
        <v>55</v>
      </c>
      <c r="B4">
        <v>2059.59</v>
      </c>
    </row>
    <row r="5" spans="1:2" x14ac:dyDescent="0.3">
      <c r="A5" s="4" t="s">
        <v>60</v>
      </c>
      <c r="B5">
        <v>1908.9500000000003</v>
      </c>
    </row>
    <row r="6" spans="1:2" x14ac:dyDescent="0.3">
      <c r="A6" s="4" t="s">
        <v>61</v>
      </c>
      <c r="B6">
        <v>1579.84</v>
      </c>
    </row>
    <row r="7" spans="1:2" x14ac:dyDescent="0.3">
      <c r="A7" s="4" t="s">
        <v>59</v>
      </c>
      <c r="B7">
        <v>788.43000000000006</v>
      </c>
    </row>
    <row r="8" spans="1:2" x14ac:dyDescent="0.3">
      <c r="A8" s="4" t="s">
        <v>58</v>
      </c>
      <c r="B8">
        <v>661.74999999999989</v>
      </c>
    </row>
    <row r="9" spans="1:2" x14ac:dyDescent="0.3">
      <c r="A9" s="4" t="s">
        <v>56</v>
      </c>
      <c r="B9">
        <v>386.26000000000005</v>
      </c>
    </row>
    <row r="10" spans="1:2" x14ac:dyDescent="0.3">
      <c r="A10" s="4" t="s">
        <v>57</v>
      </c>
      <c r="B10">
        <v>385.11</v>
      </c>
    </row>
    <row r="11" spans="1:2" x14ac:dyDescent="0.3">
      <c r="A11" s="4" t="s">
        <v>52</v>
      </c>
      <c r="B11">
        <v>7769.93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FB3A-67CE-4529-8506-CC1842A34868}">
  <dimension ref="A3:B24"/>
  <sheetViews>
    <sheetView workbookViewId="0">
      <selection activeCell="A6" sqref="A6"/>
    </sheetView>
  </sheetViews>
  <sheetFormatPr defaultRowHeight="14.4" x14ac:dyDescent="0.3"/>
  <cols>
    <col min="1" max="1" width="15.77734375" bestFit="1" customWidth="1"/>
    <col min="2" max="2" width="19.33203125" bestFit="1" customWidth="1"/>
  </cols>
  <sheetData>
    <row r="3" spans="1:2" x14ac:dyDescent="0.3">
      <c r="A3" s="3" t="s">
        <v>51</v>
      </c>
      <c r="B3" t="s">
        <v>50</v>
      </c>
    </row>
    <row r="4" spans="1:2" x14ac:dyDescent="0.3">
      <c r="A4" s="4" t="s">
        <v>18</v>
      </c>
      <c r="B4">
        <v>2228.7800000000002</v>
      </c>
    </row>
    <row r="5" spans="1:2" x14ac:dyDescent="0.3">
      <c r="A5" s="7" t="s">
        <v>55</v>
      </c>
      <c r="B5">
        <v>811.43000000000006</v>
      </c>
    </row>
    <row r="6" spans="1:2" x14ac:dyDescent="0.3">
      <c r="A6" s="7" t="s">
        <v>60</v>
      </c>
      <c r="B6">
        <v>901.58</v>
      </c>
    </row>
    <row r="7" spans="1:2" x14ac:dyDescent="0.3">
      <c r="A7" s="7" t="s">
        <v>61</v>
      </c>
      <c r="B7">
        <v>515.77</v>
      </c>
    </row>
    <row r="8" spans="1:2" x14ac:dyDescent="0.3">
      <c r="A8" s="4" t="s">
        <v>30</v>
      </c>
      <c r="B8">
        <v>1165.6199999999999</v>
      </c>
    </row>
    <row r="9" spans="1:2" x14ac:dyDescent="0.3">
      <c r="A9" s="7" t="s">
        <v>55</v>
      </c>
      <c r="B9">
        <v>367.08</v>
      </c>
    </row>
    <row r="10" spans="1:2" x14ac:dyDescent="0.3">
      <c r="A10" s="7" t="s">
        <v>60</v>
      </c>
      <c r="B10">
        <v>312.3</v>
      </c>
    </row>
    <row r="11" spans="1:2" x14ac:dyDescent="0.3">
      <c r="A11" s="7" t="s">
        <v>61</v>
      </c>
      <c r="B11">
        <v>486.24</v>
      </c>
    </row>
    <row r="12" spans="1:2" x14ac:dyDescent="0.3">
      <c r="A12" s="4" t="s">
        <v>28</v>
      </c>
      <c r="B12">
        <v>800.34</v>
      </c>
    </row>
    <row r="13" spans="1:2" x14ac:dyDescent="0.3">
      <c r="A13" s="7" t="s">
        <v>55</v>
      </c>
      <c r="B13">
        <v>441.15</v>
      </c>
    </row>
    <row r="14" spans="1:2" x14ac:dyDescent="0.3">
      <c r="A14" s="7" t="s">
        <v>60</v>
      </c>
      <c r="B14">
        <v>237.58</v>
      </c>
    </row>
    <row r="15" spans="1:2" x14ac:dyDescent="0.3">
      <c r="A15" s="7" t="s">
        <v>61</v>
      </c>
      <c r="B15">
        <v>121.60999999999999</v>
      </c>
    </row>
    <row r="16" spans="1:2" x14ac:dyDescent="0.3">
      <c r="A16" s="4" t="s">
        <v>14</v>
      </c>
      <c r="B16">
        <v>777.01</v>
      </c>
    </row>
    <row r="17" spans="1:2" x14ac:dyDescent="0.3">
      <c r="A17" s="7" t="s">
        <v>55</v>
      </c>
      <c r="B17">
        <v>274.57</v>
      </c>
    </row>
    <row r="18" spans="1:2" x14ac:dyDescent="0.3">
      <c r="A18" s="7" t="s">
        <v>60</v>
      </c>
      <c r="B18">
        <v>215.88</v>
      </c>
    </row>
    <row r="19" spans="1:2" x14ac:dyDescent="0.3">
      <c r="A19" s="7" t="s">
        <v>61</v>
      </c>
      <c r="B19">
        <v>286.56</v>
      </c>
    </row>
    <row r="20" spans="1:2" x14ac:dyDescent="0.3">
      <c r="A20" s="4" t="s">
        <v>23</v>
      </c>
      <c r="B20">
        <v>576.63</v>
      </c>
    </row>
    <row r="21" spans="1:2" x14ac:dyDescent="0.3">
      <c r="A21" s="7" t="s">
        <v>55</v>
      </c>
      <c r="B21">
        <v>165.36</v>
      </c>
    </row>
    <row r="22" spans="1:2" x14ac:dyDescent="0.3">
      <c r="A22" s="7" t="s">
        <v>60</v>
      </c>
      <c r="B22">
        <v>241.61</v>
      </c>
    </row>
    <row r="23" spans="1:2" x14ac:dyDescent="0.3">
      <c r="A23" s="7" t="s">
        <v>61</v>
      </c>
      <c r="B23">
        <v>169.66</v>
      </c>
    </row>
    <row r="24" spans="1:2" x14ac:dyDescent="0.3">
      <c r="A24" s="4" t="s">
        <v>52</v>
      </c>
      <c r="B24">
        <v>5548.3799999999992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6565-B603-428A-B662-9FB5A2906182}">
  <sheetPr filterMode="1"/>
  <dimension ref="A1:N119"/>
  <sheetViews>
    <sheetView tabSelected="1" workbookViewId="0">
      <selection activeCell="E1" sqref="E1:E1048576"/>
    </sheetView>
  </sheetViews>
  <sheetFormatPr defaultRowHeight="14.4" x14ac:dyDescent="0.3"/>
  <cols>
    <col min="1" max="1" width="10.33203125" bestFit="1" customWidth="1"/>
    <col min="14" max="14" width="10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</v>
      </c>
    </row>
    <row r="2" spans="1:14" hidden="1" x14ac:dyDescent="0.3">
      <c r="A2" s="1">
        <v>45964</v>
      </c>
      <c r="B2" t="s">
        <v>13</v>
      </c>
      <c r="C2" s="2">
        <v>0.70833333333333337</v>
      </c>
      <c r="D2" s="2">
        <v>0</v>
      </c>
      <c r="E2">
        <v>7</v>
      </c>
      <c r="F2">
        <v>70.739999999999995</v>
      </c>
      <c r="G2">
        <v>73</v>
      </c>
      <c r="H2">
        <v>12</v>
      </c>
      <c r="I2">
        <v>0.97</v>
      </c>
      <c r="J2" t="s">
        <v>14</v>
      </c>
      <c r="K2" t="s">
        <v>15</v>
      </c>
      <c r="L2" t="s">
        <v>16</v>
      </c>
      <c r="M2">
        <v>1</v>
      </c>
      <c r="N2" t="str">
        <f>_xlfn.XLOOKUP(M:M,Sheet2!B:B,Sheet2!A:A)</f>
        <v>Monday</v>
      </c>
    </row>
    <row r="3" spans="1:14" hidden="1" x14ac:dyDescent="0.3">
      <c r="A3" s="1">
        <v>45967</v>
      </c>
      <c r="B3" t="s">
        <v>17</v>
      </c>
      <c r="C3" s="2">
        <v>0.44791666666666669</v>
      </c>
      <c r="D3" s="2">
        <v>0.70833333333333337</v>
      </c>
      <c r="E3">
        <v>6.25</v>
      </c>
      <c r="F3">
        <v>64.67</v>
      </c>
      <c r="G3">
        <v>62.4</v>
      </c>
      <c r="H3">
        <v>10</v>
      </c>
      <c r="I3">
        <v>1.04</v>
      </c>
      <c r="J3" t="s">
        <v>18</v>
      </c>
      <c r="K3" t="s">
        <v>15</v>
      </c>
      <c r="L3" t="s">
        <v>19</v>
      </c>
      <c r="M3">
        <v>4</v>
      </c>
      <c r="N3" t="str">
        <f>_xlfn.XLOOKUP(M:M,Sheet2!B:B,Sheet2!A:A)</f>
        <v>Thursday</v>
      </c>
    </row>
    <row r="4" spans="1:14" x14ac:dyDescent="0.3">
      <c r="A4" s="1">
        <v>45968</v>
      </c>
      <c r="B4" t="s">
        <v>20</v>
      </c>
      <c r="C4" s="2">
        <v>0.6875</v>
      </c>
      <c r="D4" s="2">
        <v>0.90625</v>
      </c>
      <c r="E4">
        <v>5.25</v>
      </c>
      <c r="F4">
        <v>52.87</v>
      </c>
      <c r="G4">
        <v>74.599999999999994</v>
      </c>
      <c r="H4">
        <v>9</v>
      </c>
      <c r="I4">
        <v>0.71</v>
      </c>
      <c r="J4" t="s">
        <v>18</v>
      </c>
      <c r="K4" t="s">
        <v>15</v>
      </c>
      <c r="L4" t="s">
        <v>21</v>
      </c>
      <c r="M4">
        <v>5</v>
      </c>
      <c r="N4" t="str">
        <f>_xlfn.XLOOKUP(M:M,Sheet2!B:B,Sheet2!A:A)</f>
        <v>Friday</v>
      </c>
    </row>
    <row r="5" spans="1:14" x14ac:dyDescent="0.3">
      <c r="A5" s="1">
        <v>45969</v>
      </c>
      <c r="B5" t="s">
        <v>22</v>
      </c>
      <c r="C5" s="2">
        <v>0.72916666666666663</v>
      </c>
      <c r="D5" s="2">
        <v>0.9375</v>
      </c>
      <c r="E5">
        <v>5</v>
      </c>
      <c r="F5">
        <v>43.73</v>
      </c>
      <c r="G5">
        <v>57</v>
      </c>
      <c r="H5">
        <v>7</v>
      </c>
      <c r="I5">
        <v>0.77</v>
      </c>
      <c r="J5" t="s">
        <v>23</v>
      </c>
      <c r="K5" t="s">
        <v>24</v>
      </c>
      <c r="L5" t="s">
        <v>19</v>
      </c>
      <c r="M5">
        <v>6</v>
      </c>
      <c r="N5" t="str">
        <f>_xlfn.XLOOKUP(M:M,Sheet2!B:B,Sheet2!A:A)</f>
        <v>Saturday</v>
      </c>
    </row>
    <row r="6" spans="1:14" x14ac:dyDescent="0.3">
      <c r="A6" s="1">
        <v>45970</v>
      </c>
      <c r="B6" t="s">
        <v>25</v>
      </c>
      <c r="C6" s="2">
        <v>0.60416666666666663</v>
      </c>
      <c r="D6" s="2">
        <v>0.83333333333333337</v>
      </c>
      <c r="E6">
        <v>5.5</v>
      </c>
      <c r="F6">
        <v>44.78</v>
      </c>
      <c r="G6">
        <v>74.900000000000006</v>
      </c>
      <c r="H6">
        <v>7</v>
      </c>
      <c r="I6">
        <v>0.6</v>
      </c>
      <c r="J6" t="s">
        <v>18</v>
      </c>
      <c r="K6" t="s">
        <v>15</v>
      </c>
      <c r="L6" t="s">
        <v>21</v>
      </c>
      <c r="M6">
        <v>0</v>
      </c>
      <c r="N6" t="str">
        <f>_xlfn.XLOOKUP(M:M,Sheet2!B:B,Sheet2!A:A)</f>
        <v>Sunday</v>
      </c>
    </row>
    <row r="7" spans="1:14" x14ac:dyDescent="0.3">
      <c r="A7" s="1">
        <v>45975</v>
      </c>
      <c r="B7" t="s">
        <v>13</v>
      </c>
      <c r="C7" s="2">
        <v>0.72916666666666663</v>
      </c>
      <c r="D7" s="2">
        <v>5.2083333333333336E-2</v>
      </c>
      <c r="E7">
        <v>7.75</v>
      </c>
      <c r="F7">
        <v>70.59</v>
      </c>
      <c r="G7">
        <v>112</v>
      </c>
      <c r="H7">
        <v>13</v>
      </c>
      <c r="I7">
        <v>0.63</v>
      </c>
      <c r="J7" t="s">
        <v>18</v>
      </c>
      <c r="K7" t="s">
        <v>15</v>
      </c>
      <c r="L7" t="s">
        <v>26</v>
      </c>
      <c r="M7">
        <v>5</v>
      </c>
      <c r="N7" t="str">
        <f>_xlfn.XLOOKUP(M:M,Sheet2!B:B,Sheet2!A:A)</f>
        <v>Friday</v>
      </c>
    </row>
    <row r="8" spans="1:14" x14ac:dyDescent="0.3">
      <c r="A8" s="1">
        <v>45976</v>
      </c>
      <c r="B8" t="s">
        <v>22</v>
      </c>
      <c r="C8" s="2">
        <v>0.66666666666666663</v>
      </c>
      <c r="D8" s="2">
        <v>0.94791666666666663</v>
      </c>
      <c r="E8">
        <v>6.75</v>
      </c>
      <c r="F8">
        <v>75.849999999999994</v>
      </c>
      <c r="G8">
        <v>94.7</v>
      </c>
      <c r="H8">
        <v>10</v>
      </c>
      <c r="I8">
        <v>0.8</v>
      </c>
      <c r="J8" t="s">
        <v>14</v>
      </c>
      <c r="K8" t="s">
        <v>24</v>
      </c>
      <c r="L8" t="s">
        <v>27</v>
      </c>
      <c r="M8">
        <v>6</v>
      </c>
      <c r="N8" t="str">
        <f>_xlfn.XLOOKUP(M:M,Sheet2!B:B,Sheet2!A:A)</f>
        <v>Saturday</v>
      </c>
    </row>
    <row r="9" spans="1:14" x14ac:dyDescent="0.3">
      <c r="A9" s="1">
        <v>45977</v>
      </c>
      <c r="B9" t="s">
        <v>22</v>
      </c>
      <c r="C9" s="2">
        <v>0.70833333333333337</v>
      </c>
      <c r="D9" s="2">
        <v>0</v>
      </c>
      <c r="E9">
        <v>7</v>
      </c>
      <c r="F9">
        <v>59.22</v>
      </c>
      <c r="G9">
        <v>73.3</v>
      </c>
      <c r="H9">
        <v>8</v>
      </c>
      <c r="I9">
        <v>0.81</v>
      </c>
      <c r="J9" t="s">
        <v>18</v>
      </c>
      <c r="K9" t="s">
        <v>24</v>
      </c>
      <c r="L9" t="s">
        <v>19</v>
      </c>
      <c r="M9">
        <v>0</v>
      </c>
      <c r="N9" t="str">
        <f>_xlfn.XLOOKUP(M:M,Sheet2!B:B,Sheet2!A:A)</f>
        <v>Sunday</v>
      </c>
    </row>
    <row r="10" spans="1:14" x14ac:dyDescent="0.3">
      <c r="A10" s="1">
        <v>45982</v>
      </c>
      <c r="B10" t="s">
        <v>22</v>
      </c>
      <c r="C10" s="2">
        <v>0.6875</v>
      </c>
      <c r="D10" s="2">
        <v>0.96875</v>
      </c>
      <c r="E10">
        <v>6.75</v>
      </c>
      <c r="F10">
        <v>74.08</v>
      </c>
      <c r="G10">
        <v>74.7</v>
      </c>
      <c r="H10">
        <v>12</v>
      </c>
      <c r="I10">
        <v>0.99</v>
      </c>
      <c r="J10" t="s">
        <v>14</v>
      </c>
      <c r="K10" t="s">
        <v>24</v>
      </c>
      <c r="L10" t="s">
        <v>21</v>
      </c>
      <c r="M10">
        <v>5</v>
      </c>
      <c r="N10" t="str">
        <f>_xlfn.XLOOKUP(M:M,Sheet2!B:B,Sheet2!A:A)</f>
        <v>Friday</v>
      </c>
    </row>
    <row r="11" spans="1:14" x14ac:dyDescent="0.3">
      <c r="A11" s="1">
        <v>45983</v>
      </c>
      <c r="B11" t="s">
        <v>13</v>
      </c>
      <c r="C11" s="2">
        <v>0.75</v>
      </c>
      <c r="D11" s="2">
        <v>0.98958333333333337</v>
      </c>
      <c r="E11">
        <v>5.75</v>
      </c>
      <c r="F11">
        <v>50.13</v>
      </c>
      <c r="G11">
        <v>65.7</v>
      </c>
      <c r="H11">
        <v>9</v>
      </c>
      <c r="I11">
        <v>0.76</v>
      </c>
      <c r="J11" t="s">
        <v>14</v>
      </c>
      <c r="K11" t="s">
        <v>15</v>
      </c>
      <c r="L11" t="s">
        <v>16</v>
      </c>
      <c r="M11">
        <v>6</v>
      </c>
      <c r="N11" t="str">
        <f>_xlfn.XLOOKUP(M:M,Sheet2!B:B,Sheet2!A:A)</f>
        <v>Saturday</v>
      </c>
    </row>
    <row r="12" spans="1:14" x14ac:dyDescent="0.3">
      <c r="A12" s="1">
        <v>45984</v>
      </c>
      <c r="B12" t="s">
        <v>13</v>
      </c>
      <c r="C12" s="2">
        <v>0.66666666666666663</v>
      </c>
      <c r="D12" s="2">
        <v>0.94791666666666663</v>
      </c>
      <c r="E12">
        <v>6.75</v>
      </c>
      <c r="F12">
        <v>64.209999999999994</v>
      </c>
      <c r="G12">
        <v>87.3</v>
      </c>
      <c r="H12">
        <v>10</v>
      </c>
      <c r="I12">
        <v>0.74</v>
      </c>
      <c r="J12" t="s">
        <v>28</v>
      </c>
      <c r="K12" t="s">
        <v>24</v>
      </c>
      <c r="L12" t="s">
        <v>29</v>
      </c>
      <c r="M12">
        <v>0</v>
      </c>
      <c r="N12" t="str">
        <f>_xlfn.XLOOKUP(M:M,Sheet2!B:B,Sheet2!A:A)</f>
        <v>Sunday</v>
      </c>
    </row>
    <row r="13" spans="1:14" x14ac:dyDescent="0.3">
      <c r="A13" s="1">
        <v>45991</v>
      </c>
      <c r="B13" t="s">
        <v>20</v>
      </c>
      <c r="C13" s="2">
        <v>0.72916666666666663</v>
      </c>
      <c r="D13" s="2">
        <v>1.0416666666666666E-2</v>
      </c>
      <c r="E13">
        <v>6.75</v>
      </c>
      <c r="F13">
        <v>45.14</v>
      </c>
      <c r="G13">
        <v>57.2</v>
      </c>
      <c r="H13">
        <v>9</v>
      </c>
      <c r="I13">
        <v>0.79</v>
      </c>
      <c r="J13" t="s">
        <v>30</v>
      </c>
      <c r="K13" t="s">
        <v>15</v>
      </c>
      <c r="L13" t="s">
        <v>29</v>
      </c>
      <c r="M13">
        <v>0</v>
      </c>
      <c r="N13" t="str">
        <f>_xlfn.XLOOKUP(M:M,Sheet2!B:B,Sheet2!A:A)</f>
        <v>Sunday</v>
      </c>
    </row>
    <row r="14" spans="1:14" hidden="1" x14ac:dyDescent="0.3">
      <c r="A14" s="1">
        <v>45993</v>
      </c>
      <c r="B14" t="s">
        <v>25</v>
      </c>
      <c r="C14" s="2">
        <v>0.625</v>
      </c>
      <c r="D14" s="2">
        <v>0.875</v>
      </c>
      <c r="E14">
        <v>6</v>
      </c>
      <c r="F14">
        <v>58.9</v>
      </c>
      <c r="G14">
        <v>94.3</v>
      </c>
      <c r="H14">
        <v>10</v>
      </c>
      <c r="I14">
        <v>0.62</v>
      </c>
      <c r="J14" t="s">
        <v>18</v>
      </c>
      <c r="K14" t="s">
        <v>15</v>
      </c>
      <c r="L14" t="s">
        <v>21</v>
      </c>
      <c r="M14">
        <v>2</v>
      </c>
      <c r="N14" t="str">
        <f>_xlfn.XLOOKUP(M:M,Sheet2!B:B,Sheet2!A:A)</f>
        <v>Tuesday</v>
      </c>
    </row>
    <row r="15" spans="1:14" hidden="1" x14ac:dyDescent="0.3">
      <c r="A15" s="1">
        <v>45994</v>
      </c>
      <c r="B15" t="s">
        <v>25</v>
      </c>
      <c r="C15" s="2">
        <v>0.60416666666666663</v>
      </c>
      <c r="D15" s="2">
        <v>0.85416666666666663</v>
      </c>
      <c r="E15">
        <v>6</v>
      </c>
      <c r="F15">
        <v>52.21</v>
      </c>
      <c r="G15">
        <v>63.8</v>
      </c>
      <c r="H15">
        <v>9</v>
      </c>
      <c r="I15">
        <v>0.82</v>
      </c>
      <c r="J15" t="s">
        <v>14</v>
      </c>
      <c r="K15" t="s">
        <v>15</v>
      </c>
      <c r="L15" t="s">
        <v>26</v>
      </c>
      <c r="M15">
        <v>3</v>
      </c>
      <c r="N15" t="str">
        <f>_xlfn.XLOOKUP(M:M,Sheet2!B:B,Sheet2!A:A)</f>
        <v>Wednesday</v>
      </c>
    </row>
    <row r="16" spans="1:14" x14ac:dyDescent="0.3">
      <c r="A16" s="1">
        <v>45996</v>
      </c>
      <c r="B16" t="s">
        <v>22</v>
      </c>
      <c r="C16" s="2">
        <v>0.6875</v>
      </c>
      <c r="D16" s="2">
        <v>0.91666666666666663</v>
      </c>
      <c r="E16">
        <v>5.5</v>
      </c>
      <c r="F16">
        <v>52.13</v>
      </c>
      <c r="G16">
        <v>52.2</v>
      </c>
      <c r="H16">
        <v>8</v>
      </c>
      <c r="I16">
        <v>1</v>
      </c>
      <c r="J16" t="s">
        <v>18</v>
      </c>
      <c r="K16" t="s">
        <v>24</v>
      </c>
      <c r="L16" t="s">
        <v>19</v>
      </c>
      <c r="M16">
        <v>5</v>
      </c>
      <c r="N16" t="str">
        <f>_xlfn.XLOOKUP(M:M,Sheet2!B:B,Sheet2!A:A)</f>
        <v>Friday</v>
      </c>
    </row>
    <row r="17" spans="1:14" x14ac:dyDescent="0.3">
      <c r="A17" s="1">
        <v>45997</v>
      </c>
      <c r="B17" t="s">
        <v>20</v>
      </c>
      <c r="C17" s="2">
        <v>0.72916666666666663</v>
      </c>
      <c r="D17" s="2">
        <v>0.97916666666666663</v>
      </c>
      <c r="E17">
        <v>6</v>
      </c>
      <c r="F17">
        <v>63.92</v>
      </c>
      <c r="G17">
        <v>67.2</v>
      </c>
      <c r="H17">
        <v>10</v>
      </c>
      <c r="I17">
        <v>0.95</v>
      </c>
      <c r="J17" t="s">
        <v>23</v>
      </c>
      <c r="K17" t="s">
        <v>15</v>
      </c>
      <c r="L17" t="s">
        <v>27</v>
      </c>
      <c r="M17">
        <v>6</v>
      </c>
      <c r="N17" t="str">
        <f>_xlfn.XLOOKUP(M:M,Sheet2!B:B,Sheet2!A:A)</f>
        <v>Saturday</v>
      </c>
    </row>
    <row r="18" spans="1:14" x14ac:dyDescent="0.3">
      <c r="A18" s="1">
        <v>45998</v>
      </c>
      <c r="B18" t="s">
        <v>22</v>
      </c>
      <c r="C18" s="2">
        <v>0.70833333333333337</v>
      </c>
      <c r="D18" s="2">
        <v>0.9375</v>
      </c>
      <c r="E18">
        <v>5.5</v>
      </c>
      <c r="F18">
        <v>57.07</v>
      </c>
      <c r="G18">
        <v>59.9</v>
      </c>
      <c r="H18">
        <v>9</v>
      </c>
      <c r="I18">
        <v>0.95</v>
      </c>
      <c r="J18" t="s">
        <v>28</v>
      </c>
      <c r="K18" t="s">
        <v>24</v>
      </c>
      <c r="L18" t="s">
        <v>21</v>
      </c>
      <c r="M18">
        <v>0</v>
      </c>
      <c r="N18" t="str">
        <f>_xlfn.XLOOKUP(M:M,Sheet2!B:B,Sheet2!A:A)</f>
        <v>Sunday</v>
      </c>
    </row>
    <row r="19" spans="1:14" hidden="1" x14ac:dyDescent="0.3">
      <c r="A19" s="1">
        <v>46000</v>
      </c>
      <c r="B19" t="s">
        <v>13</v>
      </c>
      <c r="C19" s="2">
        <v>0.72916666666666663</v>
      </c>
      <c r="D19" s="2">
        <v>0.97916666666666663</v>
      </c>
      <c r="E19">
        <v>6</v>
      </c>
      <c r="F19">
        <v>53.45</v>
      </c>
      <c r="G19">
        <v>61.2</v>
      </c>
      <c r="H19">
        <v>9</v>
      </c>
      <c r="I19">
        <v>0.87</v>
      </c>
      <c r="J19" t="s">
        <v>14</v>
      </c>
      <c r="K19" t="s">
        <v>15</v>
      </c>
      <c r="L19" t="s">
        <v>27</v>
      </c>
      <c r="M19">
        <v>2</v>
      </c>
      <c r="N19" t="str">
        <f>_xlfn.XLOOKUP(M:M,Sheet2!B:B,Sheet2!A:A)</f>
        <v>Tuesday</v>
      </c>
    </row>
    <row r="20" spans="1:14" x14ac:dyDescent="0.3">
      <c r="A20" s="1">
        <v>46004</v>
      </c>
      <c r="B20" t="s">
        <v>20</v>
      </c>
      <c r="C20" s="2">
        <v>0.72916666666666663</v>
      </c>
      <c r="D20" s="2">
        <v>1.0416666666666666E-2</v>
      </c>
      <c r="E20">
        <v>6.75</v>
      </c>
      <c r="F20">
        <v>50.43</v>
      </c>
      <c r="G20">
        <v>79.5</v>
      </c>
      <c r="H20">
        <v>8</v>
      </c>
      <c r="I20">
        <v>0.63</v>
      </c>
      <c r="J20" t="s">
        <v>30</v>
      </c>
      <c r="K20" t="s">
        <v>15</v>
      </c>
      <c r="L20" t="s">
        <v>16</v>
      </c>
      <c r="M20">
        <v>6</v>
      </c>
      <c r="N20" t="str">
        <f>_xlfn.XLOOKUP(M:M,Sheet2!B:B,Sheet2!A:A)</f>
        <v>Saturday</v>
      </c>
    </row>
    <row r="21" spans="1:14" x14ac:dyDescent="0.3">
      <c r="A21" s="1">
        <v>46005</v>
      </c>
      <c r="B21" t="s">
        <v>25</v>
      </c>
      <c r="C21" s="2">
        <v>0.625</v>
      </c>
      <c r="D21" s="2">
        <v>0.84375</v>
      </c>
      <c r="E21">
        <v>5.25</v>
      </c>
      <c r="F21">
        <v>32.409999999999997</v>
      </c>
      <c r="G21">
        <v>41.4</v>
      </c>
      <c r="H21">
        <v>6</v>
      </c>
      <c r="I21">
        <v>0.78</v>
      </c>
      <c r="J21" t="s">
        <v>30</v>
      </c>
      <c r="K21" t="s">
        <v>15</v>
      </c>
      <c r="L21" t="s">
        <v>26</v>
      </c>
      <c r="M21">
        <v>0</v>
      </c>
      <c r="N21" t="str">
        <f>_xlfn.XLOOKUP(M:M,Sheet2!B:B,Sheet2!A:A)</f>
        <v>Sunday</v>
      </c>
    </row>
    <row r="22" spans="1:14" x14ac:dyDescent="0.3">
      <c r="A22" s="1">
        <v>46010</v>
      </c>
      <c r="B22" t="s">
        <v>20</v>
      </c>
      <c r="C22" s="2">
        <v>0.6875</v>
      </c>
      <c r="D22" s="2">
        <v>0.96875</v>
      </c>
      <c r="E22">
        <v>6.75</v>
      </c>
      <c r="F22">
        <v>69.72</v>
      </c>
      <c r="G22">
        <v>68.400000000000006</v>
      </c>
      <c r="H22">
        <v>12</v>
      </c>
      <c r="I22">
        <v>1.02</v>
      </c>
      <c r="J22" t="s">
        <v>30</v>
      </c>
      <c r="K22" t="s">
        <v>24</v>
      </c>
      <c r="L22" t="s">
        <v>29</v>
      </c>
      <c r="M22">
        <v>5</v>
      </c>
      <c r="N22" t="str">
        <f>_xlfn.XLOOKUP(M:M,Sheet2!B:B,Sheet2!A:A)</f>
        <v>Friday</v>
      </c>
    </row>
    <row r="23" spans="1:14" x14ac:dyDescent="0.3">
      <c r="A23" s="1">
        <v>46011</v>
      </c>
      <c r="B23" t="s">
        <v>20</v>
      </c>
      <c r="C23" s="2">
        <v>0.75</v>
      </c>
      <c r="D23" s="2">
        <v>5.2083333333333336E-2</v>
      </c>
      <c r="E23">
        <v>7.25</v>
      </c>
      <c r="F23">
        <v>62.01</v>
      </c>
      <c r="G23">
        <v>78.099999999999994</v>
      </c>
      <c r="H23">
        <v>13</v>
      </c>
      <c r="I23">
        <v>0.79</v>
      </c>
      <c r="J23" t="s">
        <v>23</v>
      </c>
      <c r="K23" t="s">
        <v>15</v>
      </c>
      <c r="L23" t="s">
        <v>19</v>
      </c>
      <c r="M23">
        <v>6</v>
      </c>
      <c r="N23" t="str">
        <f>_xlfn.XLOOKUP(M:M,Sheet2!B:B,Sheet2!A:A)</f>
        <v>Saturday</v>
      </c>
    </row>
    <row r="24" spans="1:14" x14ac:dyDescent="0.3">
      <c r="A24" s="1">
        <v>46012</v>
      </c>
      <c r="B24" t="s">
        <v>13</v>
      </c>
      <c r="C24" s="2">
        <v>0.70833333333333337</v>
      </c>
      <c r="D24" s="2">
        <v>1.0416666666666666E-2</v>
      </c>
      <c r="E24">
        <v>7.25</v>
      </c>
      <c r="F24">
        <v>89.24</v>
      </c>
      <c r="G24">
        <v>86.6</v>
      </c>
      <c r="H24">
        <v>13</v>
      </c>
      <c r="I24">
        <v>1.03</v>
      </c>
      <c r="J24" t="s">
        <v>28</v>
      </c>
      <c r="K24" t="s">
        <v>24</v>
      </c>
      <c r="L24" t="s">
        <v>29</v>
      </c>
      <c r="M24">
        <v>0</v>
      </c>
      <c r="N24" t="str">
        <f>_xlfn.XLOOKUP(M:M,Sheet2!B:B,Sheet2!A:A)</f>
        <v>Sunday</v>
      </c>
    </row>
    <row r="25" spans="1:14" x14ac:dyDescent="0.3">
      <c r="A25" s="1">
        <v>46018</v>
      </c>
      <c r="B25" t="s">
        <v>20</v>
      </c>
      <c r="C25" s="2">
        <v>0.75</v>
      </c>
      <c r="D25" s="2">
        <v>0</v>
      </c>
      <c r="E25">
        <v>6</v>
      </c>
      <c r="F25">
        <v>46.04</v>
      </c>
      <c r="G25">
        <v>51.2</v>
      </c>
      <c r="H25">
        <v>8</v>
      </c>
      <c r="I25">
        <v>0.9</v>
      </c>
      <c r="J25" t="s">
        <v>28</v>
      </c>
      <c r="K25" t="s">
        <v>15</v>
      </c>
      <c r="L25" t="s">
        <v>19</v>
      </c>
      <c r="M25">
        <v>6</v>
      </c>
      <c r="N25" t="str">
        <f>_xlfn.XLOOKUP(M:M,Sheet2!B:B,Sheet2!A:A)</f>
        <v>Saturday</v>
      </c>
    </row>
    <row r="26" spans="1:14" x14ac:dyDescent="0.3">
      <c r="A26" s="1">
        <v>46019</v>
      </c>
      <c r="B26" t="s">
        <v>20</v>
      </c>
      <c r="C26" s="2">
        <v>0.72916666666666663</v>
      </c>
      <c r="D26" s="2">
        <v>2.0833333333333332E-2</v>
      </c>
      <c r="E26">
        <v>7</v>
      </c>
      <c r="F26">
        <v>69.7</v>
      </c>
      <c r="G26">
        <v>90.9</v>
      </c>
      <c r="H26">
        <v>12</v>
      </c>
      <c r="I26">
        <v>0.77</v>
      </c>
      <c r="J26" t="s">
        <v>28</v>
      </c>
      <c r="K26" t="s">
        <v>15</v>
      </c>
      <c r="L26" t="s">
        <v>21</v>
      </c>
      <c r="M26">
        <v>0</v>
      </c>
      <c r="N26" t="str">
        <f>_xlfn.XLOOKUP(M:M,Sheet2!B:B,Sheet2!A:A)</f>
        <v>Sunday</v>
      </c>
    </row>
    <row r="27" spans="1:14" hidden="1" x14ac:dyDescent="0.3">
      <c r="A27" s="1">
        <v>46021</v>
      </c>
      <c r="B27" t="s">
        <v>22</v>
      </c>
      <c r="C27" s="2">
        <v>0.70833333333333337</v>
      </c>
      <c r="D27" s="2">
        <v>0.94791666666666663</v>
      </c>
      <c r="E27">
        <v>5.75</v>
      </c>
      <c r="F27">
        <v>53.4</v>
      </c>
      <c r="G27">
        <v>73.900000000000006</v>
      </c>
      <c r="H27">
        <v>8</v>
      </c>
      <c r="I27">
        <v>0.72</v>
      </c>
      <c r="J27" t="s">
        <v>30</v>
      </c>
      <c r="K27" t="s">
        <v>24</v>
      </c>
      <c r="L27" t="s">
        <v>27</v>
      </c>
      <c r="M27">
        <v>2</v>
      </c>
      <c r="N27" t="str">
        <f>_xlfn.XLOOKUP(M:M,Sheet2!B:B,Sheet2!A:A)</f>
        <v>Tuesday</v>
      </c>
    </row>
    <row r="28" spans="1:14" hidden="1" x14ac:dyDescent="0.3">
      <c r="A28" s="1">
        <v>46022</v>
      </c>
      <c r="B28" t="s">
        <v>13</v>
      </c>
      <c r="C28" s="2">
        <v>0.75</v>
      </c>
      <c r="D28" s="2">
        <v>0</v>
      </c>
      <c r="E28">
        <v>6</v>
      </c>
      <c r="F28">
        <v>46.67</v>
      </c>
      <c r="G28">
        <v>58.5</v>
      </c>
      <c r="H28">
        <v>8</v>
      </c>
      <c r="I28">
        <v>0.8</v>
      </c>
      <c r="J28" t="s">
        <v>28</v>
      </c>
      <c r="K28" t="s">
        <v>15</v>
      </c>
      <c r="L28" t="s">
        <v>27</v>
      </c>
      <c r="M28">
        <v>3</v>
      </c>
      <c r="N28" t="str">
        <f>_xlfn.XLOOKUP(M:M,Sheet2!B:B,Sheet2!A:A)</f>
        <v>Wednesday</v>
      </c>
    </row>
    <row r="29" spans="1:14" x14ac:dyDescent="0.3">
      <c r="A29" s="1">
        <v>46025</v>
      </c>
      <c r="B29" t="s">
        <v>22</v>
      </c>
      <c r="C29" s="2">
        <v>0.75</v>
      </c>
      <c r="D29" s="2">
        <v>0.96875</v>
      </c>
      <c r="E29">
        <v>5.25</v>
      </c>
      <c r="F29">
        <v>77.66</v>
      </c>
      <c r="G29">
        <v>29.8</v>
      </c>
      <c r="H29">
        <v>10</v>
      </c>
      <c r="I29">
        <v>2.61</v>
      </c>
      <c r="J29" t="s">
        <v>18</v>
      </c>
      <c r="K29" t="s">
        <v>24</v>
      </c>
      <c r="L29" t="s">
        <v>31</v>
      </c>
      <c r="M29">
        <v>6</v>
      </c>
      <c r="N29" t="str">
        <f>_xlfn.XLOOKUP(M:M,Sheet2!B:B,Sheet2!A:A)</f>
        <v>Saturday</v>
      </c>
    </row>
    <row r="30" spans="1:14" x14ac:dyDescent="0.3">
      <c r="A30" s="1">
        <v>46026</v>
      </c>
      <c r="B30" t="s">
        <v>20</v>
      </c>
      <c r="C30" s="2">
        <v>0.70833333333333337</v>
      </c>
      <c r="D30" s="2">
        <v>0.9375</v>
      </c>
      <c r="E30">
        <v>5.5</v>
      </c>
      <c r="F30">
        <v>54.81</v>
      </c>
      <c r="G30">
        <v>27.1</v>
      </c>
      <c r="H30">
        <v>8</v>
      </c>
      <c r="I30">
        <v>2.02</v>
      </c>
      <c r="J30" t="s">
        <v>28</v>
      </c>
      <c r="K30" t="s">
        <v>15</v>
      </c>
      <c r="L30" t="s">
        <v>32</v>
      </c>
      <c r="M30">
        <v>0</v>
      </c>
      <c r="N30" t="str">
        <f>_xlfn.XLOOKUP(M:M,Sheet2!B:B,Sheet2!A:A)</f>
        <v>Sunday</v>
      </c>
    </row>
    <row r="31" spans="1:14" hidden="1" x14ac:dyDescent="0.3">
      <c r="A31" s="1">
        <v>46030</v>
      </c>
      <c r="B31" t="s">
        <v>13</v>
      </c>
      <c r="C31" s="2">
        <v>0.72916666666666663</v>
      </c>
      <c r="D31" s="2">
        <v>0.91666666666666663</v>
      </c>
      <c r="E31">
        <v>4.5</v>
      </c>
      <c r="F31">
        <v>43.39</v>
      </c>
      <c r="G31">
        <v>24</v>
      </c>
      <c r="H31">
        <v>8</v>
      </c>
      <c r="I31">
        <v>1.81</v>
      </c>
      <c r="J31" t="s">
        <v>18</v>
      </c>
      <c r="K31" t="s">
        <v>15</v>
      </c>
      <c r="L31" t="s">
        <v>33</v>
      </c>
      <c r="M31">
        <v>4</v>
      </c>
      <c r="N31" t="str">
        <f>_xlfn.XLOOKUP(M:M,Sheet2!B:B,Sheet2!A:A)</f>
        <v>Thursday</v>
      </c>
    </row>
    <row r="32" spans="1:14" x14ac:dyDescent="0.3">
      <c r="A32" s="1">
        <v>46031</v>
      </c>
      <c r="B32" t="s">
        <v>22</v>
      </c>
      <c r="C32" s="2">
        <v>0.6875</v>
      </c>
      <c r="D32" s="2">
        <v>0.91666666666666663</v>
      </c>
      <c r="E32">
        <v>5.5</v>
      </c>
      <c r="F32">
        <v>61.67</v>
      </c>
      <c r="G32">
        <v>16.5</v>
      </c>
      <c r="H32">
        <v>9</v>
      </c>
      <c r="I32">
        <v>3.74</v>
      </c>
      <c r="J32" t="s">
        <v>14</v>
      </c>
      <c r="K32" t="s">
        <v>24</v>
      </c>
      <c r="L32" t="s">
        <v>31</v>
      </c>
      <c r="M32">
        <v>5</v>
      </c>
      <c r="N32" t="str">
        <f>_xlfn.XLOOKUP(M:M,Sheet2!B:B,Sheet2!A:A)</f>
        <v>Friday</v>
      </c>
    </row>
    <row r="33" spans="1:14" x14ac:dyDescent="0.3">
      <c r="A33" s="1">
        <v>46033</v>
      </c>
      <c r="B33" t="s">
        <v>20</v>
      </c>
      <c r="C33" s="2">
        <v>0.6875</v>
      </c>
      <c r="D33" s="2">
        <v>0.89583333333333337</v>
      </c>
      <c r="E33">
        <v>5</v>
      </c>
      <c r="F33">
        <v>53.75</v>
      </c>
      <c r="G33">
        <v>19.100000000000001</v>
      </c>
      <c r="H33">
        <v>8</v>
      </c>
      <c r="I33">
        <v>2.81</v>
      </c>
      <c r="J33" t="s">
        <v>18</v>
      </c>
      <c r="K33" t="s">
        <v>15</v>
      </c>
      <c r="L33" t="s">
        <v>31</v>
      </c>
      <c r="M33">
        <v>0</v>
      </c>
      <c r="N33" t="str">
        <f>_xlfn.XLOOKUP(M:M,Sheet2!B:B,Sheet2!A:A)</f>
        <v>Sunday</v>
      </c>
    </row>
    <row r="34" spans="1:14" hidden="1" x14ac:dyDescent="0.3">
      <c r="A34" s="1">
        <v>46037</v>
      </c>
      <c r="B34" t="s">
        <v>13</v>
      </c>
      <c r="C34" s="2">
        <v>0.66666666666666663</v>
      </c>
      <c r="D34" s="2">
        <v>0.86458333333333337</v>
      </c>
      <c r="E34">
        <v>4.75</v>
      </c>
      <c r="F34">
        <v>61.97</v>
      </c>
      <c r="G34">
        <v>24.8</v>
      </c>
      <c r="H34">
        <v>9</v>
      </c>
      <c r="I34">
        <v>2.5</v>
      </c>
      <c r="J34" t="s">
        <v>18</v>
      </c>
      <c r="K34" t="s">
        <v>15</v>
      </c>
      <c r="L34" t="s">
        <v>34</v>
      </c>
      <c r="M34">
        <v>4</v>
      </c>
      <c r="N34" t="str">
        <f>_xlfn.XLOOKUP(M:M,Sheet2!B:B,Sheet2!A:A)</f>
        <v>Thursday</v>
      </c>
    </row>
    <row r="35" spans="1:14" x14ac:dyDescent="0.3">
      <c r="A35" s="1">
        <v>46046</v>
      </c>
      <c r="B35" t="s">
        <v>13</v>
      </c>
      <c r="C35" s="2">
        <v>0.70833333333333337</v>
      </c>
      <c r="D35" s="2">
        <v>0.9375</v>
      </c>
      <c r="E35">
        <v>5.5</v>
      </c>
      <c r="F35">
        <v>81.02</v>
      </c>
      <c r="G35">
        <v>27.1</v>
      </c>
      <c r="H35">
        <v>11</v>
      </c>
      <c r="I35">
        <v>2.99</v>
      </c>
      <c r="J35" t="s">
        <v>30</v>
      </c>
      <c r="K35" t="s">
        <v>15</v>
      </c>
      <c r="L35" t="s">
        <v>32</v>
      </c>
      <c r="M35">
        <v>6</v>
      </c>
      <c r="N35" t="str">
        <f>_xlfn.XLOOKUP(M:M,Sheet2!B:B,Sheet2!A:A)</f>
        <v>Saturday</v>
      </c>
    </row>
    <row r="36" spans="1:14" x14ac:dyDescent="0.3">
      <c r="A36" s="1">
        <v>46047</v>
      </c>
      <c r="B36" t="s">
        <v>22</v>
      </c>
      <c r="C36" s="2">
        <v>0.70833333333333337</v>
      </c>
      <c r="D36" s="2">
        <v>0.95833333333333337</v>
      </c>
      <c r="E36">
        <v>6</v>
      </c>
      <c r="F36">
        <v>65.27</v>
      </c>
      <c r="G36">
        <v>26.2</v>
      </c>
      <c r="H36">
        <v>10</v>
      </c>
      <c r="I36">
        <v>2.4900000000000002</v>
      </c>
      <c r="J36" t="s">
        <v>30</v>
      </c>
      <c r="K36" t="s">
        <v>24</v>
      </c>
      <c r="L36" t="s">
        <v>32</v>
      </c>
      <c r="M36">
        <v>0</v>
      </c>
      <c r="N36" t="str">
        <f>_xlfn.XLOOKUP(M:M,Sheet2!B:B,Sheet2!A:A)</f>
        <v>Sunday</v>
      </c>
    </row>
    <row r="37" spans="1:14" x14ac:dyDescent="0.3">
      <c r="A37" s="1">
        <v>46052</v>
      </c>
      <c r="B37" t="s">
        <v>13</v>
      </c>
      <c r="C37" s="2">
        <v>0.6875</v>
      </c>
      <c r="D37" s="2">
        <v>0.90625</v>
      </c>
      <c r="E37">
        <v>5.25</v>
      </c>
      <c r="F37">
        <v>69.89</v>
      </c>
      <c r="G37">
        <v>21</v>
      </c>
      <c r="H37">
        <v>10</v>
      </c>
      <c r="I37">
        <v>3.33</v>
      </c>
      <c r="J37" t="s">
        <v>18</v>
      </c>
      <c r="K37" t="s">
        <v>15</v>
      </c>
      <c r="L37" t="s">
        <v>35</v>
      </c>
      <c r="M37">
        <v>5</v>
      </c>
      <c r="N37" t="str">
        <f>_xlfn.XLOOKUP(M:M,Sheet2!B:B,Sheet2!A:A)</f>
        <v>Friday</v>
      </c>
    </row>
    <row r="38" spans="1:14" x14ac:dyDescent="0.3">
      <c r="A38" s="1">
        <v>46053</v>
      </c>
      <c r="B38" t="s">
        <v>20</v>
      </c>
      <c r="C38" s="2">
        <v>0.70833333333333337</v>
      </c>
      <c r="D38" s="2">
        <v>0.90625</v>
      </c>
      <c r="E38">
        <v>4.75</v>
      </c>
      <c r="F38">
        <v>60.98</v>
      </c>
      <c r="G38">
        <v>20.399999999999999</v>
      </c>
      <c r="H38">
        <v>9</v>
      </c>
      <c r="I38">
        <v>2.99</v>
      </c>
      <c r="J38" t="s">
        <v>18</v>
      </c>
      <c r="K38" t="s">
        <v>15</v>
      </c>
      <c r="L38" t="s">
        <v>33</v>
      </c>
      <c r="M38">
        <v>6</v>
      </c>
      <c r="N38" t="str">
        <f>_xlfn.XLOOKUP(M:M,Sheet2!B:B,Sheet2!A:A)</f>
        <v>Saturday</v>
      </c>
    </row>
    <row r="39" spans="1:14" x14ac:dyDescent="0.3">
      <c r="A39" s="1">
        <v>46059</v>
      </c>
      <c r="B39" t="s">
        <v>13</v>
      </c>
      <c r="C39" s="2">
        <v>0.6875</v>
      </c>
      <c r="D39" s="2">
        <v>0.91666666666666663</v>
      </c>
      <c r="E39">
        <v>5.5</v>
      </c>
      <c r="F39">
        <v>60.14</v>
      </c>
      <c r="G39">
        <v>17.2</v>
      </c>
      <c r="H39">
        <v>8</v>
      </c>
      <c r="I39">
        <v>3.5</v>
      </c>
      <c r="J39" t="s">
        <v>30</v>
      </c>
      <c r="K39" t="s">
        <v>15</v>
      </c>
      <c r="L39" t="s">
        <v>36</v>
      </c>
      <c r="M39">
        <v>5</v>
      </c>
      <c r="N39" t="str">
        <f>_xlfn.XLOOKUP(M:M,Sheet2!B:B,Sheet2!A:A)</f>
        <v>Friday</v>
      </c>
    </row>
    <row r="40" spans="1:14" x14ac:dyDescent="0.3">
      <c r="A40" s="1">
        <v>46060</v>
      </c>
      <c r="B40" t="s">
        <v>22</v>
      </c>
      <c r="C40" s="2">
        <v>0.72916666666666663</v>
      </c>
      <c r="D40" s="2">
        <v>0.96875</v>
      </c>
      <c r="E40">
        <v>5.75</v>
      </c>
      <c r="F40">
        <v>75.569999999999993</v>
      </c>
      <c r="G40">
        <v>27.6</v>
      </c>
      <c r="H40">
        <v>9</v>
      </c>
      <c r="I40">
        <v>2.74</v>
      </c>
      <c r="J40" t="s">
        <v>28</v>
      </c>
      <c r="K40" t="s">
        <v>24</v>
      </c>
      <c r="L40" t="s">
        <v>34</v>
      </c>
      <c r="M40">
        <v>6</v>
      </c>
      <c r="N40" t="str">
        <f>_xlfn.XLOOKUP(M:M,Sheet2!B:B,Sheet2!A:A)</f>
        <v>Saturday</v>
      </c>
    </row>
    <row r="41" spans="1:14" x14ac:dyDescent="0.3">
      <c r="A41" s="1">
        <v>46061</v>
      </c>
      <c r="B41" t="s">
        <v>20</v>
      </c>
      <c r="C41" s="2">
        <v>0.75</v>
      </c>
      <c r="D41" s="2">
        <v>0.94791666666666663</v>
      </c>
      <c r="E41">
        <v>4.75</v>
      </c>
      <c r="F41">
        <v>69.27</v>
      </c>
      <c r="G41">
        <v>24.2</v>
      </c>
      <c r="H41">
        <v>9</v>
      </c>
      <c r="I41">
        <v>2.86</v>
      </c>
      <c r="J41" t="s">
        <v>14</v>
      </c>
      <c r="K41" t="s">
        <v>15</v>
      </c>
      <c r="L41" t="s">
        <v>36</v>
      </c>
      <c r="M41">
        <v>0</v>
      </c>
      <c r="N41" t="str">
        <f>_xlfn.XLOOKUP(M:M,Sheet2!B:B,Sheet2!A:A)</f>
        <v>Sunday</v>
      </c>
    </row>
    <row r="42" spans="1:14" hidden="1" x14ac:dyDescent="0.3">
      <c r="A42" s="1">
        <v>46062</v>
      </c>
      <c r="B42" t="s">
        <v>22</v>
      </c>
      <c r="C42" s="2">
        <v>0.72916666666666663</v>
      </c>
      <c r="D42" s="2">
        <v>0.94791666666666663</v>
      </c>
      <c r="E42">
        <v>5.25</v>
      </c>
      <c r="F42">
        <v>81.11</v>
      </c>
      <c r="G42">
        <v>27.2</v>
      </c>
      <c r="H42">
        <v>9</v>
      </c>
      <c r="I42">
        <v>2.98</v>
      </c>
      <c r="J42" t="s">
        <v>18</v>
      </c>
      <c r="K42" t="s">
        <v>24</v>
      </c>
      <c r="L42" t="s">
        <v>35</v>
      </c>
      <c r="M42">
        <v>1</v>
      </c>
      <c r="N42" t="str">
        <f>_xlfn.XLOOKUP(M:M,Sheet2!B:B,Sheet2!A:A)</f>
        <v>Monday</v>
      </c>
    </row>
    <row r="43" spans="1:14" hidden="1" x14ac:dyDescent="0.3">
      <c r="A43" s="1">
        <v>46064</v>
      </c>
      <c r="B43" t="s">
        <v>17</v>
      </c>
      <c r="C43" s="2">
        <v>0.46875</v>
      </c>
      <c r="D43" s="2">
        <v>0.72916666666666663</v>
      </c>
      <c r="E43">
        <v>6.25</v>
      </c>
      <c r="F43">
        <v>54.62</v>
      </c>
      <c r="G43">
        <v>23.8</v>
      </c>
      <c r="H43">
        <v>8</v>
      </c>
      <c r="I43">
        <v>2.29</v>
      </c>
      <c r="J43" t="s">
        <v>18</v>
      </c>
      <c r="K43" t="s">
        <v>15</v>
      </c>
      <c r="L43" t="s">
        <v>31</v>
      </c>
      <c r="M43">
        <v>3</v>
      </c>
      <c r="N43" t="str">
        <f>_xlfn.XLOOKUP(M:M,Sheet2!B:B,Sheet2!A:A)</f>
        <v>Wednesday</v>
      </c>
    </row>
    <row r="44" spans="1:14" x14ac:dyDescent="0.3">
      <c r="A44" s="1">
        <v>46066</v>
      </c>
      <c r="B44" t="s">
        <v>22</v>
      </c>
      <c r="C44" s="2">
        <v>0.6875</v>
      </c>
      <c r="D44" s="2">
        <v>0.92708333333333337</v>
      </c>
      <c r="E44">
        <v>5.75</v>
      </c>
      <c r="F44">
        <v>83.89</v>
      </c>
      <c r="G44">
        <v>34.700000000000003</v>
      </c>
      <c r="H44">
        <v>12</v>
      </c>
      <c r="I44">
        <v>2.42</v>
      </c>
      <c r="J44" t="s">
        <v>18</v>
      </c>
      <c r="K44" t="s">
        <v>24</v>
      </c>
      <c r="L44" t="s">
        <v>34</v>
      </c>
      <c r="M44">
        <v>5</v>
      </c>
      <c r="N44" t="str">
        <f>_xlfn.XLOOKUP(M:M,Sheet2!B:B,Sheet2!A:A)</f>
        <v>Friday</v>
      </c>
    </row>
    <row r="45" spans="1:14" x14ac:dyDescent="0.3">
      <c r="A45" s="1">
        <v>46068</v>
      </c>
      <c r="B45" t="s">
        <v>20</v>
      </c>
      <c r="C45" s="2">
        <v>0.70833333333333337</v>
      </c>
      <c r="D45" s="2">
        <v>0.9375</v>
      </c>
      <c r="E45">
        <v>5.5</v>
      </c>
      <c r="F45">
        <v>54.79</v>
      </c>
      <c r="G45">
        <v>26.8</v>
      </c>
      <c r="H45">
        <v>7</v>
      </c>
      <c r="I45">
        <v>2.04</v>
      </c>
      <c r="J45" t="s">
        <v>28</v>
      </c>
      <c r="K45" t="s">
        <v>24</v>
      </c>
      <c r="L45" t="s">
        <v>31</v>
      </c>
      <c r="M45">
        <v>0</v>
      </c>
      <c r="N45" t="str">
        <f>_xlfn.XLOOKUP(M:M,Sheet2!B:B,Sheet2!A:A)</f>
        <v>Sunday</v>
      </c>
    </row>
    <row r="46" spans="1:14" x14ac:dyDescent="0.3">
      <c r="A46" s="1">
        <v>46073</v>
      </c>
      <c r="B46" t="s">
        <v>13</v>
      </c>
      <c r="C46" s="2">
        <v>0.75</v>
      </c>
      <c r="D46" s="2">
        <v>0.96875</v>
      </c>
      <c r="E46">
        <v>5.25</v>
      </c>
      <c r="F46">
        <v>78.959999999999994</v>
      </c>
      <c r="G46">
        <v>30</v>
      </c>
      <c r="H46">
        <v>11</v>
      </c>
      <c r="I46">
        <v>2.63</v>
      </c>
      <c r="J46" t="s">
        <v>18</v>
      </c>
      <c r="K46" t="s">
        <v>15</v>
      </c>
      <c r="L46" t="s">
        <v>32</v>
      </c>
      <c r="M46">
        <v>5</v>
      </c>
      <c r="N46" t="str">
        <f>_xlfn.XLOOKUP(M:M,Sheet2!B:B,Sheet2!A:A)</f>
        <v>Friday</v>
      </c>
    </row>
    <row r="47" spans="1:14" x14ac:dyDescent="0.3">
      <c r="A47" s="1">
        <v>46074</v>
      </c>
      <c r="B47" t="s">
        <v>13</v>
      </c>
      <c r="C47" s="2">
        <v>0.6875</v>
      </c>
      <c r="D47" s="2">
        <v>0.86458333333333337</v>
      </c>
      <c r="E47">
        <v>4.25</v>
      </c>
      <c r="F47">
        <v>53.39</v>
      </c>
      <c r="G47">
        <v>20.3</v>
      </c>
      <c r="H47">
        <v>7</v>
      </c>
      <c r="I47">
        <v>2.63</v>
      </c>
      <c r="J47" t="s">
        <v>30</v>
      </c>
      <c r="K47" t="s">
        <v>24</v>
      </c>
      <c r="L47" t="s">
        <v>34</v>
      </c>
      <c r="M47">
        <v>6</v>
      </c>
      <c r="N47" t="str">
        <f>_xlfn.XLOOKUP(M:M,Sheet2!B:B,Sheet2!A:A)</f>
        <v>Saturday</v>
      </c>
    </row>
    <row r="48" spans="1:14" hidden="1" x14ac:dyDescent="0.3">
      <c r="A48" s="1">
        <v>46076</v>
      </c>
      <c r="B48" t="s">
        <v>17</v>
      </c>
      <c r="C48" s="2">
        <v>0.45833333333333331</v>
      </c>
      <c r="D48" s="2">
        <v>0.66666666666666663</v>
      </c>
      <c r="E48">
        <v>5</v>
      </c>
      <c r="F48">
        <v>58.59</v>
      </c>
      <c r="G48">
        <v>18.7</v>
      </c>
      <c r="H48">
        <v>8</v>
      </c>
      <c r="I48">
        <v>3.13</v>
      </c>
      <c r="J48" t="s">
        <v>30</v>
      </c>
      <c r="K48" t="s">
        <v>24</v>
      </c>
      <c r="L48" t="s">
        <v>32</v>
      </c>
      <c r="M48">
        <v>1</v>
      </c>
      <c r="N48" t="str">
        <f>_xlfn.XLOOKUP(M:M,Sheet2!B:B,Sheet2!A:A)</f>
        <v>Monday</v>
      </c>
    </row>
    <row r="49" spans="1:14" x14ac:dyDescent="0.3">
      <c r="A49" s="1">
        <v>46080</v>
      </c>
      <c r="B49" t="s">
        <v>20</v>
      </c>
      <c r="C49" s="2">
        <v>0.66666666666666663</v>
      </c>
      <c r="D49" s="2">
        <v>0.89583333333333337</v>
      </c>
      <c r="E49">
        <v>5.5</v>
      </c>
      <c r="F49">
        <v>49.03</v>
      </c>
      <c r="G49">
        <v>21.2</v>
      </c>
      <c r="H49">
        <v>8</v>
      </c>
      <c r="I49">
        <v>2.31</v>
      </c>
      <c r="J49" t="s">
        <v>30</v>
      </c>
      <c r="K49" t="s">
        <v>15</v>
      </c>
      <c r="L49" t="s">
        <v>35</v>
      </c>
      <c r="M49">
        <v>5</v>
      </c>
      <c r="N49" t="str">
        <f>_xlfn.XLOOKUP(M:M,Sheet2!B:B,Sheet2!A:A)</f>
        <v>Friday</v>
      </c>
    </row>
    <row r="50" spans="1:14" x14ac:dyDescent="0.3">
      <c r="A50" s="1">
        <v>46082</v>
      </c>
      <c r="B50" t="s">
        <v>20</v>
      </c>
      <c r="C50" s="2">
        <v>0.75</v>
      </c>
      <c r="D50" s="2">
        <v>0.98958333333333337</v>
      </c>
      <c r="E50">
        <v>5.75</v>
      </c>
      <c r="F50">
        <v>71.34</v>
      </c>
      <c r="G50">
        <v>26.1</v>
      </c>
      <c r="H50">
        <v>11</v>
      </c>
      <c r="I50">
        <v>2.73</v>
      </c>
      <c r="J50" t="s">
        <v>18</v>
      </c>
      <c r="K50" t="s">
        <v>15</v>
      </c>
      <c r="L50" t="s">
        <v>36</v>
      </c>
      <c r="M50">
        <v>0</v>
      </c>
      <c r="N50" t="str">
        <f>_xlfn.XLOOKUP(M:M,Sheet2!B:B,Sheet2!A:A)</f>
        <v>Sunday</v>
      </c>
    </row>
    <row r="51" spans="1:14" hidden="1" x14ac:dyDescent="0.3">
      <c r="A51" s="1">
        <v>46086</v>
      </c>
      <c r="B51" t="s">
        <v>17</v>
      </c>
      <c r="C51" s="2">
        <v>0.44791666666666669</v>
      </c>
      <c r="D51" s="2">
        <v>0.63541666666666663</v>
      </c>
      <c r="E51">
        <v>4.5</v>
      </c>
      <c r="F51">
        <v>60.07</v>
      </c>
      <c r="G51">
        <v>27.5</v>
      </c>
      <c r="H51">
        <v>9</v>
      </c>
      <c r="I51">
        <v>2.1800000000000002</v>
      </c>
      <c r="J51" t="s">
        <v>14</v>
      </c>
      <c r="K51" t="s">
        <v>15</v>
      </c>
      <c r="L51" t="s">
        <v>31</v>
      </c>
      <c r="M51">
        <v>4</v>
      </c>
      <c r="N51" t="str">
        <f>_xlfn.XLOOKUP(M:M,Sheet2!B:B,Sheet2!A:A)</f>
        <v>Thursday</v>
      </c>
    </row>
    <row r="52" spans="1:14" x14ac:dyDescent="0.3">
      <c r="A52" s="1">
        <v>46087</v>
      </c>
      <c r="B52" t="s">
        <v>22</v>
      </c>
      <c r="C52" s="2">
        <v>0.70833333333333337</v>
      </c>
      <c r="D52" s="2">
        <v>0.92708333333333337</v>
      </c>
      <c r="E52">
        <v>5.25</v>
      </c>
      <c r="F52">
        <v>70.239999999999995</v>
      </c>
      <c r="G52">
        <v>31</v>
      </c>
      <c r="H52">
        <v>11</v>
      </c>
      <c r="I52">
        <v>2.27</v>
      </c>
      <c r="J52" t="s">
        <v>23</v>
      </c>
      <c r="K52" t="s">
        <v>24</v>
      </c>
      <c r="L52" t="s">
        <v>34</v>
      </c>
      <c r="M52">
        <v>5</v>
      </c>
      <c r="N52" t="str">
        <f>_xlfn.XLOOKUP(M:M,Sheet2!B:B,Sheet2!A:A)</f>
        <v>Friday</v>
      </c>
    </row>
    <row r="53" spans="1:14" x14ac:dyDescent="0.3">
      <c r="A53" s="1">
        <v>46088</v>
      </c>
      <c r="B53" t="s">
        <v>20</v>
      </c>
      <c r="C53" s="2">
        <v>0.66666666666666663</v>
      </c>
      <c r="D53" s="2">
        <v>0.85416666666666663</v>
      </c>
      <c r="E53">
        <v>4.5</v>
      </c>
      <c r="F53">
        <v>48.32</v>
      </c>
      <c r="G53">
        <v>22.3</v>
      </c>
      <c r="H53">
        <v>7</v>
      </c>
      <c r="I53">
        <v>2.17</v>
      </c>
      <c r="J53" t="s">
        <v>30</v>
      </c>
      <c r="K53" t="s">
        <v>15</v>
      </c>
      <c r="L53" t="s">
        <v>36</v>
      </c>
      <c r="M53">
        <v>6</v>
      </c>
      <c r="N53" t="str">
        <f>_xlfn.XLOOKUP(M:M,Sheet2!B:B,Sheet2!A:A)</f>
        <v>Saturday</v>
      </c>
    </row>
    <row r="54" spans="1:14" x14ac:dyDescent="0.3">
      <c r="A54" s="1">
        <v>46089</v>
      </c>
      <c r="B54" t="s">
        <v>13</v>
      </c>
      <c r="C54" s="2">
        <v>0.6875</v>
      </c>
      <c r="D54" s="2">
        <v>0.90625</v>
      </c>
      <c r="E54">
        <v>5.25</v>
      </c>
      <c r="F54">
        <v>81.709999999999994</v>
      </c>
      <c r="G54">
        <v>29</v>
      </c>
      <c r="H54">
        <v>11</v>
      </c>
      <c r="I54">
        <v>2.82</v>
      </c>
      <c r="J54" t="s">
        <v>18</v>
      </c>
      <c r="K54" t="s">
        <v>15</v>
      </c>
      <c r="L54" t="s">
        <v>33</v>
      </c>
      <c r="M54">
        <v>0</v>
      </c>
      <c r="N54" t="str">
        <f>_xlfn.XLOOKUP(M:M,Sheet2!B:B,Sheet2!A:A)</f>
        <v>Sunday</v>
      </c>
    </row>
    <row r="55" spans="1:14" hidden="1" x14ac:dyDescent="0.3">
      <c r="A55" s="1">
        <v>46092</v>
      </c>
      <c r="B55" t="s">
        <v>13</v>
      </c>
      <c r="C55" s="2">
        <v>0.75</v>
      </c>
      <c r="D55" s="2">
        <v>0</v>
      </c>
      <c r="E55">
        <v>6</v>
      </c>
      <c r="F55">
        <v>65.03</v>
      </c>
      <c r="G55">
        <v>21.2</v>
      </c>
      <c r="H55">
        <v>10</v>
      </c>
      <c r="I55">
        <v>3.07</v>
      </c>
      <c r="J55" t="s">
        <v>30</v>
      </c>
      <c r="K55" t="s">
        <v>15</v>
      </c>
      <c r="L55" t="s">
        <v>34</v>
      </c>
      <c r="M55">
        <v>3</v>
      </c>
      <c r="N55" t="str">
        <f>_xlfn.XLOOKUP(M:M,Sheet2!B:B,Sheet2!A:A)</f>
        <v>Wednesday</v>
      </c>
    </row>
    <row r="56" spans="1:14" x14ac:dyDescent="0.3">
      <c r="A56" s="1">
        <v>46094</v>
      </c>
      <c r="B56" t="s">
        <v>20</v>
      </c>
      <c r="C56" s="2">
        <v>0.72916666666666663</v>
      </c>
      <c r="D56" s="2">
        <v>0.90625</v>
      </c>
      <c r="E56">
        <v>4.25</v>
      </c>
      <c r="F56">
        <v>72.47</v>
      </c>
      <c r="G56">
        <v>15.7</v>
      </c>
      <c r="H56">
        <v>9</v>
      </c>
      <c r="I56">
        <v>4.62</v>
      </c>
      <c r="J56" t="s">
        <v>30</v>
      </c>
      <c r="K56" t="s">
        <v>24</v>
      </c>
      <c r="L56" t="s">
        <v>37</v>
      </c>
      <c r="M56">
        <v>5</v>
      </c>
      <c r="N56" t="str">
        <f>_xlfn.XLOOKUP(M:M,Sheet2!B:B,Sheet2!A:A)</f>
        <v>Friday</v>
      </c>
    </row>
    <row r="57" spans="1:14" x14ac:dyDescent="0.3">
      <c r="A57" s="1">
        <v>46095</v>
      </c>
      <c r="B57" t="s">
        <v>22</v>
      </c>
      <c r="C57" s="2">
        <v>0.70833333333333337</v>
      </c>
      <c r="D57" s="2">
        <v>0.85416666666666663</v>
      </c>
      <c r="E57">
        <v>3.5</v>
      </c>
      <c r="F57">
        <v>51.83</v>
      </c>
      <c r="G57">
        <v>13.4</v>
      </c>
      <c r="H57">
        <v>7</v>
      </c>
      <c r="I57">
        <v>3.87</v>
      </c>
      <c r="J57" t="s">
        <v>30</v>
      </c>
      <c r="K57" t="s">
        <v>24</v>
      </c>
      <c r="L57" t="s">
        <v>38</v>
      </c>
      <c r="M57">
        <v>6</v>
      </c>
      <c r="N57" t="str">
        <f>_xlfn.XLOOKUP(M:M,Sheet2!B:B,Sheet2!A:A)</f>
        <v>Saturday</v>
      </c>
    </row>
    <row r="58" spans="1:14" x14ac:dyDescent="0.3">
      <c r="A58" s="1">
        <v>46096</v>
      </c>
      <c r="B58" t="s">
        <v>22</v>
      </c>
      <c r="C58" s="2">
        <v>0.70833333333333337</v>
      </c>
      <c r="D58" s="2">
        <v>0.90625</v>
      </c>
      <c r="E58">
        <v>4.75</v>
      </c>
      <c r="F58">
        <v>84.44</v>
      </c>
      <c r="G58">
        <v>20.100000000000001</v>
      </c>
      <c r="H58">
        <v>10</v>
      </c>
      <c r="I58">
        <v>4.2</v>
      </c>
      <c r="J58" t="s">
        <v>18</v>
      </c>
      <c r="K58" t="s">
        <v>24</v>
      </c>
      <c r="L58" t="s">
        <v>37</v>
      </c>
      <c r="M58">
        <v>0</v>
      </c>
      <c r="N58" t="str">
        <f>_xlfn.XLOOKUP(M:M,Sheet2!B:B,Sheet2!A:A)</f>
        <v>Sunday</v>
      </c>
    </row>
    <row r="59" spans="1:14" hidden="1" x14ac:dyDescent="0.3">
      <c r="A59" s="1">
        <v>46100</v>
      </c>
      <c r="B59" t="s">
        <v>13</v>
      </c>
      <c r="C59" s="2">
        <v>0.6875</v>
      </c>
      <c r="D59" s="2">
        <v>0.83333333333333337</v>
      </c>
      <c r="E59">
        <v>3.5</v>
      </c>
      <c r="F59">
        <v>55.45</v>
      </c>
      <c r="G59">
        <v>13.6</v>
      </c>
      <c r="H59">
        <v>7</v>
      </c>
      <c r="I59">
        <v>4.08</v>
      </c>
      <c r="J59" t="s">
        <v>30</v>
      </c>
      <c r="K59" t="s">
        <v>24</v>
      </c>
      <c r="L59" t="s">
        <v>39</v>
      </c>
      <c r="M59">
        <v>4</v>
      </c>
      <c r="N59" t="str">
        <f>_xlfn.XLOOKUP(M:M,Sheet2!B:B,Sheet2!A:A)</f>
        <v>Thursday</v>
      </c>
    </row>
    <row r="60" spans="1:14" x14ac:dyDescent="0.3">
      <c r="A60" s="1">
        <v>46101</v>
      </c>
      <c r="B60" t="s">
        <v>13</v>
      </c>
      <c r="C60" s="2">
        <v>0.66666666666666663</v>
      </c>
      <c r="D60" s="2">
        <v>0.83333333333333337</v>
      </c>
      <c r="E60">
        <v>4</v>
      </c>
      <c r="F60">
        <v>79.94</v>
      </c>
      <c r="G60">
        <v>14.8</v>
      </c>
      <c r="H60">
        <v>9</v>
      </c>
      <c r="I60">
        <v>5.4</v>
      </c>
      <c r="J60" t="s">
        <v>23</v>
      </c>
      <c r="K60" t="s">
        <v>24</v>
      </c>
      <c r="L60" t="s">
        <v>38</v>
      </c>
      <c r="M60">
        <v>5</v>
      </c>
      <c r="N60" t="str">
        <f>_xlfn.XLOOKUP(M:M,Sheet2!B:B,Sheet2!A:A)</f>
        <v>Friday</v>
      </c>
    </row>
    <row r="61" spans="1:14" x14ac:dyDescent="0.3">
      <c r="A61" s="1">
        <v>46102</v>
      </c>
      <c r="B61" t="s">
        <v>13</v>
      </c>
      <c r="C61" s="2">
        <v>0.75</v>
      </c>
      <c r="D61" s="2">
        <v>0.91666666666666663</v>
      </c>
      <c r="E61">
        <v>4</v>
      </c>
      <c r="F61">
        <v>74.349999999999994</v>
      </c>
      <c r="G61">
        <v>23</v>
      </c>
      <c r="H61">
        <v>9</v>
      </c>
      <c r="I61">
        <v>3.23</v>
      </c>
      <c r="J61" t="s">
        <v>14</v>
      </c>
      <c r="K61" t="s">
        <v>15</v>
      </c>
      <c r="L61" t="s">
        <v>40</v>
      </c>
      <c r="M61">
        <v>6</v>
      </c>
      <c r="N61" t="str">
        <f>_xlfn.XLOOKUP(M:M,Sheet2!B:B,Sheet2!A:A)</f>
        <v>Saturday</v>
      </c>
    </row>
    <row r="62" spans="1:14" x14ac:dyDescent="0.3">
      <c r="A62" s="1">
        <v>46103</v>
      </c>
      <c r="B62" t="s">
        <v>20</v>
      </c>
      <c r="C62" s="2">
        <v>0.72916666666666663</v>
      </c>
      <c r="D62" s="2">
        <v>0.86458333333333337</v>
      </c>
      <c r="E62">
        <v>3.25</v>
      </c>
      <c r="F62">
        <v>58.46</v>
      </c>
      <c r="G62">
        <v>18.2</v>
      </c>
      <c r="H62">
        <v>7</v>
      </c>
      <c r="I62">
        <v>3.21</v>
      </c>
      <c r="J62" t="s">
        <v>18</v>
      </c>
      <c r="K62" t="s">
        <v>24</v>
      </c>
      <c r="L62" t="s">
        <v>41</v>
      </c>
      <c r="M62">
        <v>0</v>
      </c>
      <c r="N62" t="str">
        <f>_xlfn.XLOOKUP(M:M,Sheet2!B:B,Sheet2!A:A)</f>
        <v>Sunday</v>
      </c>
    </row>
    <row r="63" spans="1:14" hidden="1" x14ac:dyDescent="0.3">
      <c r="A63" s="1">
        <v>46107</v>
      </c>
      <c r="B63" t="s">
        <v>22</v>
      </c>
      <c r="C63" s="2">
        <v>0.66666666666666663</v>
      </c>
      <c r="D63" s="2">
        <v>0.79166666666666663</v>
      </c>
      <c r="E63">
        <v>3</v>
      </c>
      <c r="F63">
        <v>42.95</v>
      </c>
      <c r="G63">
        <v>12.9</v>
      </c>
      <c r="H63">
        <v>5</v>
      </c>
      <c r="I63">
        <v>3.33</v>
      </c>
      <c r="J63" t="s">
        <v>14</v>
      </c>
      <c r="K63" t="s">
        <v>24</v>
      </c>
      <c r="L63" t="s">
        <v>37</v>
      </c>
      <c r="M63">
        <v>4</v>
      </c>
      <c r="N63" t="str">
        <f>_xlfn.XLOOKUP(M:M,Sheet2!B:B,Sheet2!A:A)</f>
        <v>Thursday</v>
      </c>
    </row>
    <row r="64" spans="1:14" x14ac:dyDescent="0.3">
      <c r="A64" s="1">
        <v>46108</v>
      </c>
      <c r="B64" t="s">
        <v>20</v>
      </c>
      <c r="C64" s="2">
        <v>0.75</v>
      </c>
      <c r="D64" s="2">
        <v>0.94791666666666663</v>
      </c>
      <c r="E64">
        <v>4.75</v>
      </c>
      <c r="F64">
        <v>67.78</v>
      </c>
      <c r="G64">
        <v>15.3</v>
      </c>
      <c r="H64">
        <v>9</v>
      </c>
      <c r="I64">
        <v>4.43</v>
      </c>
      <c r="J64" t="s">
        <v>18</v>
      </c>
      <c r="K64" t="s">
        <v>15</v>
      </c>
      <c r="L64" t="s">
        <v>40</v>
      </c>
      <c r="M64">
        <v>5</v>
      </c>
      <c r="N64" t="str">
        <f>_xlfn.XLOOKUP(M:M,Sheet2!B:B,Sheet2!A:A)</f>
        <v>Friday</v>
      </c>
    </row>
    <row r="65" spans="1:14" x14ac:dyDescent="0.3">
      <c r="A65" s="1">
        <v>46109</v>
      </c>
      <c r="B65" t="s">
        <v>20</v>
      </c>
      <c r="C65" s="2">
        <v>0.6875</v>
      </c>
      <c r="D65" s="2">
        <v>0.88541666666666663</v>
      </c>
      <c r="E65">
        <v>4.75</v>
      </c>
      <c r="F65">
        <v>84.8</v>
      </c>
      <c r="G65">
        <v>22.4</v>
      </c>
      <c r="H65">
        <v>10</v>
      </c>
      <c r="I65">
        <v>3.79</v>
      </c>
      <c r="J65" t="s">
        <v>30</v>
      </c>
      <c r="K65" t="s">
        <v>15</v>
      </c>
      <c r="L65" t="s">
        <v>40</v>
      </c>
      <c r="M65">
        <v>6</v>
      </c>
      <c r="N65" t="str">
        <f>_xlfn.XLOOKUP(M:M,Sheet2!B:B,Sheet2!A:A)</f>
        <v>Saturday</v>
      </c>
    </row>
    <row r="66" spans="1:14" x14ac:dyDescent="0.3">
      <c r="A66" s="1">
        <v>46110</v>
      </c>
      <c r="B66" t="s">
        <v>13</v>
      </c>
      <c r="C66" s="2">
        <v>0.75</v>
      </c>
      <c r="D66" s="2">
        <v>0.91666666666666663</v>
      </c>
      <c r="E66">
        <v>4</v>
      </c>
      <c r="F66">
        <v>68.92</v>
      </c>
      <c r="G66">
        <v>12.9</v>
      </c>
      <c r="H66">
        <v>8</v>
      </c>
      <c r="I66">
        <v>5.34</v>
      </c>
      <c r="J66" t="s">
        <v>30</v>
      </c>
      <c r="K66" t="s">
        <v>24</v>
      </c>
      <c r="L66" t="s">
        <v>39</v>
      </c>
      <c r="M66">
        <v>0</v>
      </c>
      <c r="N66" t="str">
        <f>_xlfn.XLOOKUP(M:M,Sheet2!B:B,Sheet2!A:A)</f>
        <v>Sunday</v>
      </c>
    </row>
    <row r="67" spans="1:14" x14ac:dyDescent="0.3">
      <c r="A67" s="1">
        <v>46117</v>
      </c>
      <c r="B67" t="s">
        <v>20</v>
      </c>
      <c r="C67" s="2">
        <v>0.75</v>
      </c>
      <c r="D67" s="2">
        <v>0.89583333333333337</v>
      </c>
      <c r="E67">
        <v>3.5</v>
      </c>
      <c r="F67">
        <v>62.56</v>
      </c>
      <c r="G67">
        <v>15.8</v>
      </c>
      <c r="H67">
        <v>8</v>
      </c>
      <c r="I67">
        <v>3.96</v>
      </c>
      <c r="J67" t="s">
        <v>14</v>
      </c>
      <c r="K67" t="s">
        <v>15</v>
      </c>
      <c r="L67" t="s">
        <v>39</v>
      </c>
      <c r="M67">
        <v>0</v>
      </c>
      <c r="N67" t="str">
        <f>_xlfn.XLOOKUP(M:M,Sheet2!B:B,Sheet2!A:A)</f>
        <v>Sunday</v>
      </c>
    </row>
    <row r="68" spans="1:14" hidden="1" x14ac:dyDescent="0.3">
      <c r="A68" s="1">
        <v>46121</v>
      </c>
      <c r="B68" t="s">
        <v>13</v>
      </c>
      <c r="C68" s="2">
        <v>0.66666666666666663</v>
      </c>
      <c r="D68" s="2">
        <v>0.8125</v>
      </c>
      <c r="E68">
        <v>3.5</v>
      </c>
      <c r="F68">
        <v>41.87</v>
      </c>
      <c r="G68">
        <v>12.9</v>
      </c>
      <c r="H68">
        <v>6</v>
      </c>
      <c r="I68">
        <v>3.25</v>
      </c>
      <c r="J68" t="s">
        <v>23</v>
      </c>
      <c r="K68" t="s">
        <v>15</v>
      </c>
      <c r="L68" t="s">
        <v>37</v>
      </c>
      <c r="M68">
        <v>4</v>
      </c>
      <c r="N68" t="str">
        <f>_xlfn.XLOOKUP(M:M,Sheet2!B:B,Sheet2!A:A)</f>
        <v>Thursday</v>
      </c>
    </row>
    <row r="69" spans="1:14" x14ac:dyDescent="0.3">
      <c r="A69" s="1">
        <v>46123</v>
      </c>
      <c r="B69" t="s">
        <v>20</v>
      </c>
      <c r="C69" s="2">
        <v>0.75</v>
      </c>
      <c r="D69" s="2">
        <v>0.90625</v>
      </c>
      <c r="E69">
        <v>3.75</v>
      </c>
      <c r="F69">
        <v>58.55</v>
      </c>
      <c r="G69">
        <v>16.399999999999999</v>
      </c>
      <c r="H69">
        <v>8</v>
      </c>
      <c r="I69">
        <v>3.57</v>
      </c>
      <c r="J69" t="s">
        <v>18</v>
      </c>
      <c r="K69" t="s">
        <v>15</v>
      </c>
      <c r="L69" t="s">
        <v>38</v>
      </c>
      <c r="M69">
        <v>6</v>
      </c>
      <c r="N69" t="str">
        <f>_xlfn.XLOOKUP(M:M,Sheet2!B:B,Sheet2!A:A)</f>
        <v>Saturday</v>
      </c>
    </row>
    <row r="70" spans="1:14" hidden="1" x14ac:dyDescent="0.3">
      <c r="A70" s="1">
        <v>46126</v>
      </c>
      <c r="B70" t="s">
        <v>42</v>
      </c>
      <c r="C70" s="2">
        <v>0.70833333333333337</v>
      </c>
      <c r="D70" s="2">
        <v>0.88541666666666663</v>
      </c>
      <c r="E70">
        <v>4.25</v>
      </c>
      <c r="F70">
        <v>59.95</v>
      </c>
      <c r="G70">
        <v>17.100000000000001</v>
      </c>
      <c r="H70">
        <v>8</v>
      </c>
      <c r="I70">
        <v>3.51</v>
      </c>
      <c r="J70" t="s">
        <v>30</v>
      </c>
      <c r="K70" t="s">
        <v>15</v>
      </c>
      <c r="L70" t="s">
        <v>38</v>
      </c>
      <c r="M70">
        <v>2</v>
      </c>
      <c r="N70" t="str">
        <f>_xlfn.XLOOKUP(M:M,Sheet2!B:B,Sheet2!A:A)</f>
        <v>Tuesday</v>
      </c>
    </row>
    <row r="71" spans="1:14" hidden="1" x14ac:dyDescent="0.3">
      <c r="A71" s="1">
        <v>46127</v>
      </c>
      <c r="B71" t="s">
        <v>13</v>
      </c>
      <c r="C71" s="2">
        <v>0.75</v>
      </c>
      <c r="D71" s="2">
        <v>0.92708333333333337</v>
      </c>
      <c r="E71">
        <v>4.25</v>
      </c>
      <c r="F71">
        <v>63.86</v>
      </c>
      <c r="G71">
        <v>16.7</v>
      </c>
      <c r="H71">
        <v>9</v>
      </c>
      <c r="I71">
        <v>3.82</v>
      </c>
      <c r="J71" t="s">
        <v>30</v>
      </c>
      <c r="K71" t="s">
        <v>15</v>
      </c>
      <c r="L71" t="s">
        <v>38</v>
      </c>
      <c r="M71">
        <v>3</v>
      </c>
      <c r="N71" t="str">
        <f>_xlfn.XLOOKUP(M:M,Sheet2!B:B,Sheet2!A:A)</f>
        <v>Wednesday</v>
      </c>
    </row>
    <row r="72" spans="1:14" x14ac:dyDescent="0.3">
      <c r="A72" s="1">
        <v>46129</v>
      </c>
      <c r="B72" t="s">
        <v>13</v>
      </c>
      <c r="C72" s="2">
        <v>0.6875</v>
      </c>
      <c r="D72" s="2">
        <v>0.89583333333333337</v>
      </c>
      <c r="E72">
        <v>5</v>
      </c>
      <c r="F72">
        <v>78.84</v>
      </c>
      <c r="G72">
        <v>27.5</v>
      </c>
      <c r="H72">
        <v>11</v>
      </c>
      <c r="I72">
        <v>2.87</v>
      </c>
      <c r="J72" t="s">
        <v>28</v>
      </c>
      <c r="K72" t="s">
        <v>15</v>
      </c>
      <c r="L72" t="s">
        <v>39</v>
      </c>
      <c r="M72">
        <v>5</v>
      </c>
      <c r="N72" t="str">
        <f>_xlfn.XLOOKUP(M:M,Sheet2!B:B,Sheet2!A:A)</f>
        <v>Friday</v>
      </c>
    </row>
    <row r="73" spans="1:14" x14ac:dyDescent="0.3">
      <c r="A73" s="1">
        <v>46130</v>
      </c>
      <c r="B73" t="s">
        <v>20</v>
      </c>
      <c r="C73" s="2">
        <v>0.66666666666666663</v>
      </c>
      <c r="D73" s="2">
        <v>0.82291666666666663</v>
      </c>
      <c r="E73">
        <v>3.75</v>
      </c>
      <c r="F73">
        <v>67.739999999999995</v>
      </c>
      <c r="G73">
        <v>15.9</v>
      </c>
      <c r="H73">
        <v>8</v>
      </c>
      <c r="I73">
        <v>4.26</v>
      </c>
      <c r="J73" t="s">
        <v>18</v>
      </c>
      <c r="K73" t="s">
        <v>15</v>
      </c>
      <c r="L73" t="s">
        <v>40</v>
      </c>
      <c r="M73">
        <v>6</v>
      </c>
      <c r="N73" t="str">
        <f>_xlfn.XLOOKUP(M:M,Sheet2!B:B,Sheet2!A:A)</f>
        <v>Saturday</v>
      </c>
    </row>
    <row r="74" spans="1:14" x14ac:dyDescent="0.3">
      <c r="A74" s="1">
        <v>46131</v>
      </c>
      <c r="B74" t="s">
        <v>22</v>
      </c>
      <c r="C74" s="2">
        <v>0.70833333333333337</v>
      </c>
      <c r="D74" s="2">
        <v>0.90625</v>
      </c>
      <c r="E74">
        <v>4.75</v>
      </c>
      <c r="F74">
        <v>80.13</v>
      </c>
      <c r="G74">
        <v>25.9</v>
      </c>
      <c r="H74">
        <v>9</v>
      </c>
      <c r="I74">
        <v>3.09</v>
      </c>
      <c r="J74" t="s">
        <v>23</v>
      </c>
      <c r="K74" t="s">
        <v>24</v>
      </c>
      <c r="L74" t="s">
        <v>40</v>
      </c>
      <c r="M74">
        <v>0</v>
      </c>
      <c r="N74" t="str">
        <f>_xlfn.XLOOKUP(M:M,Sheet2!B:B,Sheet2!A:A)</f>
        <v>Sunday</v>
      </c>
    </row>
    <row r="75" spans="1:14" hidden="1" x14ac:dyDescent="0.3">
      <c r="A75" s="1">
        <v>46132</v>
      </c>
      <c r="B75" t="s">
        <v>17</v>
      </c>
      <c r="C75" s="2">
        <v>0.46875</v>
      </c>
      <c r="D75" s="2">
        <v>0.65625</v>
      </c>
      <c r="E75">
        <v>4.5</v>
      </c>
      <c r="F75">
        <v>80.78</v>
      </c>
      <c r="G75">
        <v>17.899999999999999</v>
      </c>
      <c r="H75">
        <v>9</v>
      </c>
      <c r="I75">
        <v>4.51</v>
      </c>
      <c r="J75" t="s">
        <v>18</v>
      </c>
      <c r="K75" t="s">
        <v>15</v>
      </c>
      <c r="L75" t="s">
        <v>43</v>
      </c>
      <c r="M75">
        <v>1</v>
      </c>
      <c r="N75" t="str">
        <f>_xlfn.XLOOKUP(M:M,Sheet2!B:B,Sheet2!A:A)</f>
        <v>Monday</v>
      </c>
    </row>
    <row r="76" spans="1:14" hidden="1" x14ac:dyDescent="0.3">
      <c r="A76" s="1">
        <v>46134</v>
      </c>
      <c r="B76" t="s">
        <v>17</v>
      </c>
      <c r="C76" s="2">
        <v>0.46875</v>
      </c>
      <c r="D76" s="2">
        <v>0.625</v>
      </c>
      <c r="E76">
        <v>3.75</v>
      </c>
      <c r="F76">
        <v>59.07</v>
      </c>
      <c r="G76">
        <v>12.3</v>
      </c>
      <c r="H76">
        <v>7</v>
      </c>
      <c r="I76">
        <v>4.8</v>
      </c>
      <c r="J76" t="s">
        <v>14</v>
      </c>
      <c r="K76" t="s">
        <v>15</v>
      </c>
      <c r="L76" t="s">
        <v>40</v>
      </c>
      <c r="M76">
        <v>3</v>
      </c>
      <c r="N76" t="str">
        <f>_xlfn.XLOOKUP(M:M,Sheet2!B:B,Sheet2!A:A)</f>
        <v>Wednesday</v>
      </c>
    </row>
    <row r="77" spans="1:14" hidden="1" x14ac:dyDescent="0.3">
      <c r="A77" s="1">
        <v>46135</v>
      </c>
      <c r="B77" t="s">
        <v>42</v>
      </c>
      <c r="C77" s="2">
        <v>0.70833333333333337</v>
      </c>
      <c r="D77" s="2">
        <v>0.89583333333333337</v>
      </c>
      <c r="E77">
        <v>4.5</v>
      </c>
      <c r="F77">
        <v>53.3</v>
      </c>
      <c r="G77">
        <v>21.6</v>
      </c>
      <c r="H77">
        <v>8</v>
      </c>
      <c r="I77">
        <v>2.4700000000000002</v>
      </c>
      <c r="J77" t="s">
        <v>18</v>
      </c>
      <c r="K77" t="s">
        <v>15</v>
      </c>
      <c r="L77" t="s">
        <v>41</v>
      </c>
      <c r="M77">
        <v>4</v>
      </c>
      <c r="N77" t="str">
        <f>_xlfn.XLOOKUP(M:M,Sheet2!B:B,Sheet2!A:A)</f>
        <v>Thursday</v>
      </c>
    </row>
    <row r="78" spans="1:14" x14ac:dyDescent="0.3">
      <c r="A78" s="1">
        <v>46136</v>
      </c>
      <c r="B78" t="s">
        <v>20</v>
      </c>
      <c r="C78" s="2">
        <v>0.66666666666666663</v>
      </c>
      <c r="D78" s="2">
        <v>0.84375</v>
      </c>
      <c r="E78">
        <v>4.25</v>
      </c>
      <c r="F78">
        <v>60.94</v>
      </c>
      <c r="G78">
        <v>17</v>
      </c>
      <c r="H78">
        <v>8</v>
      </c>
      <c r="I78">
        <v>3.58</v>
      </c>
      <c r="J78" t="s">
        <v>30</v>
      </c>
      <c r="K78" t="s">
        <v>15</v>
      </c>
      <c r="L78" t="s">
        <v>43</v>
      </c>
      <c r="M78">
        <v>5</v>
      </c>
      <c r="N78" t="str">
        <f>_xlfn.XLOOKUP(M:M,Sheet2!B:B,Sheet2!A:A)</f>
        <v>Friday</v>
      </c>
    </row>
    <row r="79" spans="1:14" x14ac:dyDescent="0.3">
      <c r="A79" s="1">
        <v>46138</v>
      </c>
      <c r="B79" t="s">
        <v>20</v>
      </c>
      <c r="C79" s="2">
        <v>0.75</v>
      </c>
      <c r="D79" s="2">
        <v>0.92708333333333337</v>
      </c>
      <c r="E79">
        <v>4.25</v>
      </c>
      <c r="F79">
        <v>84.67</v>
      </c>
      <c r="G79">
        <v>15.1</v>
      </c>
      <c r="H79">
        <v>10</v>
      </c>
      <c r="I79">
        <v>5.61</v>
      </c>
      <c r="J79" t="s">
        <v>18</v>
      </c>
      <c r="K79" t="s">
        <v>15</v>
      </c>
      <c r="L79" t="s">
        <v>37</v>
      </c>
      <c r="M79">
        <v>0</v>
      </c>
      <c r="N79" t="str">
        <f>_xlfn.XLOOKUP(M:M,Sheet2!B:B,Sheet2!A:A)</f>
        <v>Sunday</v>
      </c>
    </row>
    <row r="80" spans="1:14" hidden="1" x14ac:dyDescent="0.3">
      <c r="A80" s="1">
        <v>46141</v>
      </c>
      <c r="B80" t="s">
        <v>17</v>
      </c>
      <c r="C80" s="2">
        <v>0.45833333333333331</v>
      </c>
      <c r="D80" s="2">
        <v>0.64583333333333337</v>
      </c>
      <c r="E80">
        <v>4.5</v>
      </c>
      <c r="F80">
        <v>62.14</v>
      </c>
      <c r="G80">
        <v>23.9</v>
      </c>
      <c r="H80">
        <v>9</v>
      </c>
      <c r="I80">
        <v>2.6</v>
      </c>
      <c r="J80" t="s">
        <v>30</v>
      </c>
      <c r="K80" t="s">
        <v>24</v>
      </c>
      <c r="L80" t="s">
        <v>37</v>
      </c>
      <c r="M80">
        <v>3</v>
      </c>
      <c r="N80" t="str">
        <f>_xlfn.XLOOKUP(M:M,Sheet2!B:B,Sheet2!A:A)</f>
        <v>Wednesday</v>
      </c>
    </row>
    <row r="81" spans="1:14" hidden="1" x14ac:dyDescent="0.3">
      <c r="A81" s="1">
        <v>46142</v>
      </c>
      <c r="B81" t="s">
        <v>13</v>
      </c>
      <c r="C81" s="2">
        <v>0.75</v>
      </c>
      <c r="D81" s="2">
        <v>0.96875</v>
      </c>
      <c r="E81">
        <v>5.25</v>
      </c>
      <c r="F81">
        <v>79.03</v>
      </c>
      <c r="G81">
        <v>13.7</v>
      </c>
      <c r="H81">
        <v>10</v>
      </c>
      <c r="I81">
        <v>5.77</v>
      </c>
      <c r="J81" t="s">
        <v>30</v>
      </c>
      <c r="K81" t="s">
        <v>15</v>
      </c>
      <c r="L81" t="s">
        <v>37</v>
      </c>
      <c r="M81">
        <v>4</v>
      </c>
      <c r="N81" t="str">
        <f>_xlfn.XLOOKUP(M:M,Sheet2!B:B,Sheet2!A:A)</f>
        <v>Thursday</v>
      </c>
    </row>
    <row r="82" spans="1:14" x14ac:dyDescent="0.3">
      <c r="A82" s="1">
        <v>46143</v>
      </c>
      <c r="B82" t="s">
        <v>13</v>
      </c>
      <c r="C82" s="2">
        <v>0.66666666666666663</v>
      </c>
      <c r="D82" s="2">
        <v>0.83333333333333337</v>
      </c>
      <c r="E82">
        <v>4</v>
      </c>
      <c r="F82">
        <v>57.61</v>
      </c>
      <c r="G82">
        <v>15.6</v>
      </c>
      <c r="H82">
        <v>8</v>
      </c>
      <c r="I82">
        <v>3.69</v>
      </c>
      <c r="J82" t="s">
        <v>18</v>
      </c>
      <c r="K82" t="s">
        <v>15</v>
      </c>
      <c r="L82" t="s">
        <v>40</v>
      </c>
      <c r="M82">
        <v>5</v>
      </c>
      <c r="N82" t="str">
        <f>_xlfn.XLOOKUP(M:M,Sheet2!B:B,Sheet2!A:A)</f>
        <v>Friday</v>
      </c>
    </row>
    <row r="83" spans="1:14" x14ac:dyDescent="0.3">
      <c r="A83" s="1">
        <v>46144</v>
      </c>
      <c r="B83" t="s">
        <v>20</v>
      </c>
      <c r="C83" s="2">
        <v>0.6875</v>
      </c>
      <c r="D83" s="2">
        <v>0.84375</v>
      </c>
      <c r="E83">
        <v>3.75</v>
      </c>
      <c r="F83">
        <v>59.67</v>
      </c>
      <c r="G83">
        <v>12.3</v>
      </c>
      <c r="H83">
        <v>8</v>
      </c>
      <c r="I83">
        <v>4.8499999999999996</v>
      </c>
      <c r="J83" t="s">
        <v>18</v>
      </c>
      <c r="K83" t="s">
        <v>15</v>
      </c>
      <c r="L83" t="s">
        <v>43</v>
      </c>
      <c r="M83">
        <v>6</v>
      </c>
      <c r="N83" t="str">
        <f>_xlfn.XLOOKUP(M:M,Sheet2!B:B,Sheet2!A:A)</f>
        <v>Saturday</v>
      </c>
    </row>
    <row r="84" spans="1:14" x14ac:dyDescent="0.3">
      <c r="A84" s="1">
        <v>46145</v>
      </c>
      <c r="B84" t="s">
        <v>13</v>
      </c>
      <c r="C84" s="2">
        <v>0.72916666666666663</v>
      </c>
      <c r="D84" s="2">
        <v>0.875</v>
      </c>
      <c r="E84">
        <v>3.5</v>
      </c>
      <c r="F84">
        <v>64.709999999999994</v>
      </c>
      <c r="G84">
        <v>12.8</v>
      </c>
      <c r="H84">
        <v>7</v>
      </c>
      <c r="I84">
        <v>5.0599999999999996</v>
      </c>
      <c r="J84" t="s">
        <v>14</v>
      </c>
      <c r="K84" t="s">
        <v>24</v>
      </c>
      <c r="L84" t="s">
        <v>37</v>
      </c>
      <c r="M84">
        <v>0</v>
      </c>
      <c r="N84" t="str">
        <f>_xlfn.XLOOKUP(M:M,Sheet2!B:B,Sheet2!A:A)</f>
        <v>Sunday</v>
      </c>
    </row>
    <row r="85" spans="1:14" hidden="1" x14ac:dyDescent="0.3">
      <c r="A85" s="1">
        <v>46148</v>
      </c>
      <c r="B85" t="s">
        <v>17</v>
      </c>
      <c r="C85" s="2">
        <v>0.46875</v>
      </c>
      <c r="D85" s="2">
        <v>0.61458333333333337</v>
      </c>
      <c r="E85">
        <v>3.5</v>
      </c>
      <c r="F85">
        <v>63.18</v>
      </c>
      <c r="G85">
        <v>13.8</v>
      </c>
      <c r="H85">
        <v>8</v>
      </c>
      <c r="I85">
        <v>4.58</v>
      </c>
      <c r="J85" t="s">
        <v>18</v>
      </c>
      <c r="K85" t="s">
        <v>15</v>
      </c>
      <c r="L85" t="s">
        <v>41</v>
      </c>
      <c r="M85">
        <v>3</v>
      </c>
      <c r="N85" t="str">
        <f>_xlfn.XLOOKUP(M:M,Sheet2!B:B,Sheet2!A:A)</f>
        <v>Wednesday</v>
      </c>
    </row>
    <row r="86" spans="1:14" x14ac:dyDescent="0.3">
      <c r="A86" s="1">
        <v>46150</v>
      </c>
      <c r="B86" t="s">
        <v>20</v>
      </c>
      <c r="C86" s="2">
        <v>0.66666666666666663</v>
      </c>
      <c r="D86" s="2">
        <v>0.84375</v>
      </c>
      <c r="E86">
        <v>4.25</v>
      </c>
      <c r="F86">
        <v>80.13</v>
      </c>
      <c r="G86">
        <v>23.1</v>
      </c>
      <c r="H86">
        <v>10</v>
      </c>
      <c r="I86">
        <v>3.47</v>
      </c>
      <c r="J86" t="s">
        <v>14</v>
      </c>
      <c r="K86" t="s">
        <v>15</v>
      </c>
      <c r="L86" t="s">
        <v>37</v>
      </c>
      <c r="M86">
        <v>5</v>
      </c>
      <c r="N86" t="str">
        <f>_xlfn.XLOOKUP(M:M,Sheet2!B:B,Sheet2!A:A)</f>
        <v>Friday</v>
      </c>
    </row>
    <row r="87" spans="1:14" x14ac:dyDescent="0.3">
      <c r="A87" s="1">
        <v>46151</v>
      </c>
      <c r="B87" t="s">
        <v>20</v>
      </c>
      <c r="C87" s="2">
        <v>0.6875</v>
      </c>
      <c r="D87" s="2">
        <v>0.875</v>
      </c>
      <c r="E87">
        <v>4.5</v>
      </c>
      <c r="F87">
        <v>86.23</v>
      </c>
      <c r="G87">
        <v>16.8</v>
      </c>
      <c r="H87">
        <v>10</v>
      </c>
      <c r="I87">
        <v>5.13</v>
      </c>
      <c r="J87" t="s">
        <v>14</v>
      </c>
      <c r="K87" t="s">
        <v>15</v>
      </c>
      <c r="L87" t="s">
        <v>37</v>
      </c>
      <c r="M87">
        <v>6</v>
      </c>
      <c r="N87" t="str">
        <f>_xlfn.XLOOKUP(M:M,Sheet2!B:B,Sheet2!A:A)</f>
        <v>Saturday</v>
      </c>
    </row>
    <row r="88" spans="1:14" hidden="1" x14ac:dyDescent="0.3">
      <c r="A88" s="1">
        <v>46156</v>
      </c>
      <c r="B88" t="s">
        <v>42</v>
      </c>
      <c r="C88" s="2">
        <v>0.66666666666666663</v>
      </c>
      <c r="D88" s="2">
        <v>0.86458333333333337</v>
      </c>
      <c r="E88">
        <v>4.75</v>
      </c>
      <c r="F88">
        <v>65.739999999999995</v>
      </c>
      <c r="G88">
        <v>22</v>
      </c>
      <c r="H88">
        <v>10</v>
      </c>
      <c r="I88">
        <v>2.99</v>
      </c>
      <c r="J88" t="s">
        <v>18</v>
      </c>
      <c r="K88" t="s">
        <v>15</v>
      </c>
      <c r="L88" t="s">
        <v>37</v>
      </c>
      <c r="M88">
        <v>4</v>
      </c>
      <c r="N88" t="str">
        <f>_xlfn.XLOOKUP(M:M,Sheet2!B:B,Sheet2!A:A)</f>
        <v>Thursday</v>
      </c>
    </row>
    <row r="89" spans="1:14" x14ac:dyDescent="0.3">
      <c r="A89" s="1">
        <v>46157</v>
      </c>
      <c r="B89" t="s">
        <v>13</v>
      </c>
      <c r="C89" s="2">
        <v>0.75</v>
      </c>
      <c r="D89" s="2">
        <v>0.95833333333333337</v>
      </c>
      <c r="E89">
        <v>5</v>
      </c>
      <c r="F89">
        <v>91.43</v>
      </c>
      <c r="G89">
        <v>18.8</v>
      </c>
      <c r="H89">
        <v>12</v>
      </c>
      <c r="I89">
        <v>4.8600000000000003</v>
      </c>
      <c r="J89" t="s">
        <v>23</v>
      </c>
      <c r="K89" t="s">
        <v>15</v>
      </c>
      <c r="L89" t="s">
        <v>41</v>
      </c>
      <c r="M89">
        <v>5</v>
      </c>
      <c r="N89" t="str">
        <f>_xlfn.XLOOKUP(M:M,Sheet2!B:B,Sheet2!A:A)</f>
        <v>Friday</v>
      </c>
    </row>
    <row r="90" spans="1:14" hidden="1" x14ac:dyDescent="0.3">
      <c r="A90" s="1">
        <v>46163</v>
      </c>
      <c r="B90" t="s">
        <v>22</v>
      </c>
      <c r="C90" s="2">
        <v>0.72916666666666663</v>
      </c>
      <c r="D90" s="2">
        <v>0.89583333333333337</v>
      </c>
      <c r="E90">
        <v>4</v>
      </c>
      <c r="F90">
        <v>85.35</v>
      </c>
      <c r="G90">
        <v>14.1</v>
      </c>
      <c r="H90">
        <v>9</v>
      </c>
      <c r="I90">
        <v>6.05</v>
      </c>
      <c r="J90" t="s">
        <v>23</v>
      </c>
      <c r="K90" t="s">
        <v>24</v>
      </c>
      <c r="L90" t="s">
        <v>44</v>
      </c>
      <c r="M90">
        <v>4</v>
      </c>
      <c r="N90" t="str">
        <f>_xlfn.XLOOKUP(M:M,Sheet2!B:B,Sheet2!A:A)</f>
        <v>Thursday</v>
      </c>
    </row>
    <row r="91" spans="1:14" x14ac:dyDescent="0.3">
      <c r="A91" s="1">
        <v>46164</v>
      </c>
      <c r="B91" t="s">
        <v>42</v>
      </c>
      <c r="C91" s="2">
        <v>0.6875</v>
      </c>
      <c r="D91" s="2">
        <v>0.83333333333333337</v>
      </c>
      <c r="E91">
        <v>3.5</v>
      </c>
      <c r="F91">
        <v>69.2</v>
      </c>
      <c r="G91">
        <v>16.7</v>
      </c>
      <c r="H91">
        <v>8</v>
      </c>
      <c r="I91">
        <v>4.1399999999999997</v>
      </c>
      <c r="J91" t="s">
        <v>18</v>
      </c>
      <c r="K91" t="s">
        <v>15</v>
      </c>
      <c r="L91" t="s">
        <v>45</v>
      </c>
      <c r="M91">
        <v>5</v>
      </c>
      <c r="N91" t="str">
        <f>_xlfn.XLOOKUP(M:M,Sheet2!B:B,Sheet2!A:A)</f>
        <v>Friday</v>
      </c>
    </row>
    <row r="92" spans="1:14" x14ac:dyDescent="0.3">
      <c r="A92" s="1">
        <v>46166</v>
      </c>
      <c r="B92" t="s">
        <v>22</v>
      </c>
      <c r="C92" s="2">
        <v>0.72916666666666663</v>
      </c>
      <c r="D92" s="2">
        <v>0.88541666666666663</v>
      </c>
      <c r="E92">
        <v>3.75</v>
      </c>
      <c r="F92">
        <v>85.23</v>
      </c>
      <c r="G92">
        <v>11.3</v>
      </c>
      <c r="H92">
        <v>10</v>
      </c>
      <c r="I92">
        <v>7.54</v>
      </c>
      <c r="J92" t="s">
        <v>23</v>
      </c>
      <c r="K92" t="s">
        <v>24</v>
      </c>
      <c r="L92" t="s">
        <v>46</v>
      </c>
      <c r="M92">
        <v>0</v>
      </c>
      <c r="N92" t="str">
        <f>_xlfn.XLOOKUP(M:M,Sheet2!B:B,Sheet2!A:A)</f>
        <v>Sunday</v>
      </c>
    </row>
    <row r="93" spans="1:14" hidden="1" x14ac:dyDescent="0.3">
      <c r="A93" s="1">
        <v>46168</v>
      </c>
      <c r="B93" t="s">
        <v>13</v>
      </c>
      <c r="C93" s="2">
        <v>0.72916666666666663</v>
      </c>
      <c r="D93" s="2">
        <v>0.89583333333333337</v>
      </c>
      <c r="E93">
        <v>4</v>
      </c>
      <c r="F93">
        <v>73.05</v>
      </c>
      <c r="G93">
        <v>15.5</v>
      </c>
      <c r="H93">
        <v>9</v>
      </c>
      <c r="I93">
        <v>4.71</v>
      </c>
      <c r="J93" t="s">
        <v>18</v>
      </c>
      <c r="K93" t="s">
        <v>24</v>
      </c>
      <c r="L93" t="s">
        <v>47</v>
      </c>
      <c r="M93">
        <v>2</v>
      </c>
      <c r="N93" t="str">
        <f>_xlfn.XLOOKUP(M:M,Sheet2!B:B,Sheet2!A:A)</f>
        <v>Tuesday</v>
      </c>
    </row>
    <row r="94" spans="1:14" hidden="1" x14ac:dyDescent="0.3">
      <c r="A94" s="1">
        <v>46170</v>
      </c>
      <c r="B94" t="s">
        <v>17</v>
      </c>
      <c r="C94" s="2">
        <v>0.47916666666666669</v>
      </c>
      <c r="D94" s="2">
        <v>0.61458333333333337</v>
      </c>
      <c r="E94">
        <v>3.25</v>
      </c>
      <c r="F94">
        <v>69.63</v>
      </c>
      <c r="G94">
        <v>12.5</v>
      </c>
      <c r="H94">
        <v>7</v>
      </c>
      <c r="I94">
        <v>5.57</v>
      </c>
      <c r="J94" t="s">
        <v>18</v>
      </c>
      <c r="K94" t="s">
        <v>15</v>
      </c>
      <c r="L94" t="s">
        <v>45</v>
      </c>
      <c r="M94">
        <v>4</v>
      </c>
      <c r="N94" t="str">
        <f>_xlfn.XLOOKUP(M:M,Sheet2!B:B,Sheet2!A:A)</f>
        <v>Thursday</v>
      </c>
    </row>
    <row r="95" spans="1:14" x14ac:dyDescent="0.3">
      <c r="A95" s="1">
        <v>46172</v>
      </c>
      <c r="B95" t="s">
        <v>22</v>
      </c>
      <c r="C95" s="2">
        <v>0.70833333333333337</v>
      </c>
      <c r="D95" s="2">
        <v>0.84375</v>
      </c>
      <c r="E95">
        <v>3.25</v>
      </c>
      <c r="F95">
        <v>59.36</v>
      </c>
      <c r="G95">
        <v>12.2</v>
      </c>
      <c r="H95">
        <v>6</v>
      </c>
      <c r="I95">
        <v>4.87</v>
      </c>
      <c r="J95" t="s">
        <v>30</v>
      </c>
      <c r="K95" t="s">
        <v>24</v>
      </c>
      <c r="L95" t="s">
        <v>48</v>
      </c>
      <c r="M95">
        <v>6</v>
      </c>
      <c r="N95" t="str">
        <f>_xlfn.XLOOKUP(M:M,Sheet2!B:B,Sheet2!A:A)</f>
        <v>Saturday</v>
      </c>
    </row>
    <row r="96" spans="1:14" x14ac:dyDescent="0.3">
      <c r="A96" s="1">
        <v>46173</v>
      </c>
      <c r="B96" t="s">
        <v>20</v>
      </c>
      <c r="C96" s="2">
        <v>0.66666666666666663</v>
      </c>
      <c r="D96" s="2">
        <v>0.78125</v>
      </c>
      <c r="E96">
        <v>2.75</v>
      </c>
      <c r="F96">
        <v>51.33</v>
      </c>
      <c r="G96">
        <v>14.1</v>
      </c>
      <c r="H96">
        <v>5</v>
      </c>
      <c r="I96">
        <v>3.64</v>
      </c>
      <c r="J96" t="s">
        <v>28</v>
      </c>
      <c r="K96" t="s">
        <v>24</v>
      </c>
      <c r="L96" t="s">
        <v>46</v>
      </c>
      <c r="M96">
        <v>0</v>
      </c>
      <c r="N96" t="str">
        <f>_xlfn.XLOOKUP(M:M,Sheet2!B:B,Sheet2!A:A)</f>
        <v>Sunday</v>
      </c>
    </row>
    <row r="97" spans="1:14" hidden="1" x14ac:dyDescent="0.3">
      <c r="A97" s="1">
        <v>46176</v>
      </c>
      <c r="B97" t="s">
        <v>22</v>
      </c>
      <c r="C97" s="2">
        <v>0.6875</v>
      </c>
      <c r="D97" s="2">
        <v>0.84375</v>
      </c>
      <c r="E97">
        <v>3.75</v>
      </c>
      <c r="F97">
        <v>75.55</v>
      </c>
      <c r="G97">
        <v>11.5</v>
      </c>
      <c r="H97">
        <v>8</v>
      </c>
      <c r="I97">
        <v>6.57</v>
      </c>
      <c r="J97" t="s">
        <v>30</v>
      </c>
      <c r="K97" t="s">
        <v>24</v>
      </c>
      <c r="L97" t="s">
        <v>44</v>
      </c>
      <c r="M97">
        <v>3</v>
      </c>
      <c r="N97" t="str">
        <f>_xlfn.XLOOKUP(M:M,Sheet2!B:B,Sheet2!A:A)</f>
        <v>Wednesday</v>
      </c>
    </row>
    <row r="98" spans="1:14" x14ac:dyDescent="0.3">
      <c r="A98" s="1">
        <v>46180</v>
      </c>
      <c r="B98" t="s">
        <v>13</v>
      </c>
      <c r="C98" s="2">
        <v>0.6875</v>
      </c>
      <c r="D98" s="2">
        <v>0.82291666666666663</v>
      </c>
      <c r="E98">
        <v>3.25</v>
      </c>
      <c r="F98">
        <v>63.42</v>
      </c>
      <c r="G98">
        <v>8</v>
      </c>
      <c r="H98">
        <v>6</v>
      </c>
      <c r="I98">
        <v>7.93</v>
      </c>
      <c r="J98" t="s">
        <v>18</v>
      </c>
      <c r="K98" t="s">
        <v>15</v>
      </c>
      <c r="L98" t="s">
        <v>47</v>
      </c>
      <c r="M98">
        <v>0</v>
      </c>
      <c r="N98" t="str">
        <f>_xlfn.XLOOKUP(M:M,Sheet2!B:B,Sheet2!A:A)</f>
        <v>Sunday</v>
      </c>
    </row>
    <row r="99" spans="1:14" hidden="1" x14ac:dyDescent="0.3">
      <c r="A99" s="1">
        <v>46183</v>
      </c>
      <c r="B99" t="s">
        <v>42</v>
      </c>
      <c r="C99" s="2">
        <v>0.6875</v>
      </c>
      <c r="D99" s="2">
        <v>0.80208333333333337</v>
      </c>
      <c r="E99">
        <v>2.75</v>
      </c>
      <c r="F99">
        <v>53.76</v>
      </c>
      <c r="G99">
        <v>8</v>
      </c>
      <c r="H99">
        <v>6</v>
      </c>
      <c r="I99">
        <v>6.72</v>
      </c>
      <c r="J99" t="s">
        <v>23</v>
      </c>
      <c r="K99" t="s">
        <v>15</v>
      </c>
      <c r="L99" t="s">
        <v>46</v>
      </c>
      <c r="M99">
        <v>3</v>
      </c>
      <c r="N99" t="str">
        <f>_xlfn.XLOOKUP(M:M,Sheet2!B:B,Sheet2!A:A)</f>
        <v>Wednesday</v>
      </c>
    </row>
    <row r="100" spans="1:14" x14ac:dyDescent="0.3">
      <c r="A100" s="1">
        <v>46185</v>
      </c>
      <c r="B100" t="s">
        <v>22</v>
      </c>
      <c r="C100" s="2">
        <v>0.72916666666666663</v>
      </c>
      <c r="D100" s="2">
        <v>0.875</v>
      </c>
      <c r="E100">
        <v>3.5</v>
      </c>
      <c r="F100">
        <v>62.3</v>
      </c>
      <c r="G100">
        <v>19.899999999999999</v>
      </c>
      <c r="H100">
        <v>7</v>
      </c>
      <c r="I100">
        <v>3.13</v>
      </c>
      <c r="J100" t="s">
        <v>28</v>
      </c>
      <c r="K100" t="s">
        <v>24</v>
      </c>
      <c r="L100" t="s">
        <v>49</v>
      </c>
      <c r="M100">
        <v>5</v>
      </c>
      <c r="N100" t="str">
        <f>_xlfn.XLOOKUP(M:M,Sheet2!B:B,Sheet2!A:A)</f>
        <v>Friday</v>
      </c>
    </row>
    <row r="101" spans="1:14" x14ac:dyDescent="0.3">
      <c r="A101" s="1">
        <v>46187</v>
      </c>
      <c r="B101" t="s">
        <v>20</v>
      </c>
      <c r="C101" s="2">
        <v>0.6875</v>
      </c>
      <c r="D101" s="2">
        <v>0.85416666666666663</v>
      </c>
      <c r="E101">
        <v>4</v>
      </c>
      <c r="F101">
        <v>76.13</v>
      </c>
      <c r="G101">
        <v>13.2</v>
      </c>
      <c r="H101">
        <v>7</v>
      </c>
      <c r="I101">
        <v>5.77</v>
      </c>
      <c r="J101" t="s">
        <v>30</v>
      </c>
      <c r="K101" t="s">
        <v>15</v>
      </c>
      <c r="L101" t="s">
        <v>49</v>
      </c>
      <c r="M101">
        <v>0</v>
      </c>
      <c r="N101" t="str">
        <f>_xlfn.XLOOKUP(M:M,Sheet2!B:B,Sheet2!A:A)</f>
        <v>Sunday</v>
      </c>
    </row>
    <row r="102" spans="1:14" hidden="1" x14ac:dyDescent="0.3">
      <c r="A102" s="1">
        <v>46189</v>
      </c>
      <c r="B102" t="s">
        <v>42</v>
      </c>
      <c r="C102" s="2">
        <v>0.66666666666666663</v>
      </c>
      <c r="D102" s="2">
        <v>0.86458333333333337</v>
      </c>
      <c r="E102">
        <v>4.75</v>
      </c>
      <c r="F102">
        <v>86.36</v>
      </c>
      <c r="G102">
        <v>18.399999999999999</v>
      </c>
      <c r="H102">
        <v>9</v>
      </c>
      <c r="I102">
        <v>4.6900000000000004</v>
      </c>
      <c r="J102" t="s">
        <v>14</v>
      </c>
      <c r="K102" t="s">
        <v>15</v>
      </c>
      <c r="L102" t="s">
        <v>48</v>
      </c>
      <c r="M102">
        <v>2</v>
      </c>
      <c r="N102" t="str">
        <f>_xlfn.XLOOKUP(M:M,Sheet2!B:B,Sheet2!A:A)</f>
        <v>Tuesday</v>
      </c>
    </row>
    <row r="103" spans="1:14" x14ac:dyDescent="0.3">
      <c r="A103" s="1">
        <v>46192</v>
      </c>
      <c r="B103" t="s">
        <v>20</v>
      </c>
      <c r="C103" s="2">
        <v>0.6875</v>
      </c>
      <c r="D103" s="2">
        <v>0.86458333333333337</v>
      </c>
      <c r="E103">
        <v>4.25</v>
      </c>
      <c r="F103">
        <v>93.5</v>
      </c>
      <c r="G103">
        <v>16.3</v>
      </c>
      <c r="H103">
        <v>9</v>
      </c>
      <c r="I103">
        <v>5.74</v>
      </c>
      <c r="J103" t="s">
        <v>18</v>
      </c>
      <c r="K103" t="s">
        <v>24</v>
      </c>
      <c r="L103" t="s">
        <v>47</v>
      </c>
      <c r="M103">
        <v>5</v>
      </c>
      <c r="N103" t="str">
        <f>_xlfn.XLOOKUP(M:M,Sheet2!B:B,Sheet2!A:A)</f>
        <v>Friday</v>
      </c>
    </row>
    <row r="104" spans="1:14" x14ac:dyDescent="0.3">
      <c r="A104" s="1">
        <v>46193</v>
      </c>
      <c r="B104" t="s">
        <v>13</v>
      </c>
      <c r="C104" s="2">
        <v>0.70833333333333337</v>
      </c>
      <c r="D104" s="2">
        <v>0.84375</v>
      </c>
      <c r="E104">
        <v>3.25</v>
      </c>
      <c r="F104">
        <v>68.41</v>
      </c>
      <c r="G104">
        <v>8</v>
      </c>
      <c r="H104">
        <v>7</v>
      </c>
      <c r="I104">
        <v>8.5500000000000007</v>
      </c>
      <c r="J104" t="s">
        <v>18</v>
      </c>
      <c r="K104" t="s">
        <v>15</v>
      </c>
      <c r="L104" t="s">
        <v>47</v>
      </c>
      <c r="M104">
        <v>6</v>
      </c>
      <c r="N104" t="str">
        <f>_xlfn.XLOOKUP(M:M,Sheet2!B:B,Sheet2!A:A)</f>
        <v>Saturday</v>
      </c>
    </row>
    <row r="105" spans="1:14" x14ac:dyDescent="0.3">
      <c r="A105" s="1">
        <v>46194</v>
      </c>
      <c r="B105" t="s">
        <v>20</v>
      </c>
      <c r="C105" s="2">
        <v>0.75</v>
      </c>
      <c r="D105" s="2">
        <v>0.9375</v>
      </c>
      <c r="E105">
        <v>4.5</v>
      </c>
      <c r="F105">
        <v>90.49</v>
      </c>
      <c r="G105">
        <v>11</v>
      </c>
      <c r="H105">
        <v>9</v>
      </c>
      <c r="I105">
        <v>8.23</v>
      </c>
      <c r="J105" t="s">
        <v>18</v>
      </c>
      <c r="K105" t="s">
        <v>24</v>
      </c>
      <c r="L105" t="s">
        <v>45</v>
      </c>
      <c r="M105">
        <v>0</v>
      </c>
      <c r="N105" t="str">
        <f>_xlfn.XLOOKUP(M:M,Sheet2!B:B,Sheet2!A:A)</f>
        <v>Sunday</v>
      </c>
    </row>
    <row r="106" spans="1:14" hidden="1" x14ac:dyDescent="0.3">
      <c r="A106" s="1">
        <v>46198</v>
      </c>
      <c r="B106" t="s">
        <v>13</v>
      </c>
      <c r="C106" s="2">
        <v>0.6875</v>
      </c>
      <c r="D106" s="2">
        <v>0.84375</v>
      </c>
      <c r="E106">
        <v>3.75</v>
      </c>
      <c r="F106">
        <v>65.010000000000005</v>
      </c>
      <c r="G106">
        <v>9.3000000000000007</v>
      </c>
      <c r="H106">
        <v>8</v>
      </c>
      <c r="I106">
        <v>6.99</v>
      </c>
      <c r="J106" t="s">
        <v>18</v>
      </c>
      <c r="K106" t="s">
        <v>15</v>
      </c>
      <c r="L106" t="s">
        <v>45</v>
      </c>
      <c r="M106">
        <v>4</v>
      </c>
      <c r="N106" t="str">
        <f>_xlfn.XLOOKUP(M:M,Sheet2!B:B,Sheet2!A:A)</f>
        <v>Thursday</v>
      </c>
    </row>
    <row r="107" spans="1:14" x14ac:dyDescent="0.3">
      <c r="A107" s="1">
        <v>46199</v>
      </c>
      <c r="B107" t="s">
        <v>22</v>
      </c>
      <c r="C107" s="2">
        <v>0.6875</v>
      </c>
      <c r="D107" s="2">
        <v>0.80208333333333337</v>
      </c>
      <c r="E107">
        <v>2.75</v>
      </c>
      <c r="F107">
        <v>54.64</v>
      </c>
      <c r="G107">
        <v>10.7</v>
      </c>
      <c r="H107">
        <v>6</v>
      </c>
      <c r="I107">
        <v>5.1100000000000003</v>
      </c>
      <c r="J107" t="s">
        <v>18</v>
      </c>
      <c r="K107" t="s">
        <v>24</v>
      </c>
      <c r="L107" t="s">
        <v>44</v>
      </c>
      <c r="M107">
        <v>5</v>
      </c>
      <c r="N107" t="str">
        <f>_xlfn.XLOOKUP(M:M,Sheet2!B:B,Sheet2!A:A)</f>
        <v>Friday</v>
      </c>
    </row>
    <row r="108" spans="1:14" x14ac:dyDescent="0.3">
      <c r="A108" s="1">
        <v>46200</v>
      </c>
      <c r="B108" t="s">
        <v>22</v>
      </c>
      <c r="C108" s="2">
        <v>0.72916666666666663</v>
      </c>
      <c r="D108" s="2">
        <v>0.875</v>
      </c>
      <c r="E108">
        <v>3.5</v>
      </c>
      <c r="F108">
        <v>60.87</v>
      </c>
      <c r="G108">
        <v>8.6</v>
      </c>
      <c r="H108">
        <v>7</v>
      </c>
      <c r="I108">
        <v>7.08</v>
      </c>
      <c r="J108" t="s">
        <v>18</v>
      </c>
      <c r="K108" t="s">
        <v>24</v>
      </c>
      <c r="L108" t="s">
        <v>48</v>
      </c>
      <c r="M108">
        <v>6</v>
      </c>
      <c r="N108" t="str">
        <f>_xlfn.XLOOKUP(M:M,Sheet2!B:B,Sheet2!A:A)</f>
        <v>Saturday</v>
      </c>
    </row>
    <row r="109" spans="1:14" x14ac:dyDescent="0.3">
      <c r="A109" s="1">
        <v>46201</v>
      </c>
      <c r="B109" t="s">
        <v>20</v>
      </c>
      <c r="C109" s="2">
        <v>0.72916666666666663</v>
      </c>
      <c r="D109" s="2">
        <v>0.88541666666666663</v>
      </c>
      <c r="E109">
        <v>3.75</v>
      </c>
      <c r="F109">
        <v>79.209999999999994</v>
      </c>
      <c r="G109">
        <v>17.399999999999999</v>
      </c>
      <c r="H109">
        <v>9</v>
      </c>
      <c r="I109">
        <v>4.55</v>
      </c>
      <c r="J109" t="s">
        <v>30</v>
      </c>
      <c r="K109" t="s">
        <v>15</v>
      </c>
      <c r="L109" t="s">
        <v>47</v>
      </c>
      <c r="M109">
        <v>0</v>
      </c>
      <c r="N109" t="str">
        <f>_xlfn.XLOOKUP(M:M,Sheet2!B:B,Sheet2!A:A)</f>
        <v>Sunday</v>
      </c>
    </row>
    <row r="110" spans="1:14" hidden="1" x14ac:dyDescent="0.3">
      <c r="A110" s="1">
        <v>46202</v>
      </c>
      <c r="B110" t="s">
        <v>13</v>
      </c>
      <c r="C110" s="2">
        <v>0.72916666666666663</v>
      </c>
      <c r="D110" s="2">
        <v>0.92708333333333337</v>
      </c>
      <c r="E110">
        <v>4.75</v>
      </c>
      <c r="F110">
        <v>95.04</v>
      </c>
      <c r="G110">
        <v>15.1</v>
      </c>
      <c r="H110">
        <v>10</v>
      </c>
      <c r="I110">
        <v>6.29</v>
      </c>
      <c r="J110" t="s">
        <v>18</v>
      </c>
      <c r="K110" t="s">
        <v>24</v>
      </c>
      <c r="L110" t="s">
        <v>49</v>
      </c>
      <c r="M110">
        <v>1</v>
      </c>
      <c r="N110" t="str">
        <f>_xlfn.XLOOKUP(M:M,Sheet2!B:B,Sheet2!A:A)</f>
        <v>Monday</v>
      </c>
    </row>
    <row r="111" spans="1:14" hidden="1" x14ac:dyDescent="0.3">
      <c r="A111" s="1">
        <v>46204</v>
      </c>
      <c r="B111" t="s">
        <v>22</v>
      </c>
      <c r="C111" s="2">
        <v>0.75</v>
      </c>
      <c r="D111" s="2">
        <v>0.875</v>
      </c>
      <c r="E111">
        <v>3</v>
      </c>
      <c r="F111">
        <v>65.66</v>
      </c>
      <c r="G111">
        <v>10</v>
      </c>
      <c r="H111">
        <v>7</v>
      </c>
      <c r="I111">
        <v>6.57</v>
      </c>
      <c r="J111" t="s">
        <v>14</v>
      </c>
      <c r="K111" t="s">
        <v>24</v>
      </c>
      <c r="L111" t="s">
        <v>45</v>
      </c>
      <c r="M111">
        <v>3</v>
      </c>
      <c r="N111" t="str">
        <f>_xlfn.XLOOKUP(M:M,Sheet2!B:B,Sheet2!A:A)</f>
        <v>Wednesday</v>
      </c>
    </row>
    <row r="112" spans="1:14" x14ac:dyDescent="0.3">
      <c r="A112" s="1">
        <v>46206</v>
      </c>
      <c r="B112" t="s">
        <v>13</v>
      </c>
      <c r="C112" s="2">
        <v>0.66666666666666663</v>
      </c>
      <c r="D112" s="2">
        <v>0.85416666666666663</v>
      </c>
      <c r="E112">
        <v>4.5</v>
      </c>
      <c r="F112">
        <v>96.44</v>
      </c>
      <c r="G112">
        <v>24.3</v>
      </c>
      <c r="H112">
        <v>11</v>
      </c>
      <c r="I112">
        <v>3.97</v>
      </c>
      <c r="J112" t="s">
        <v>28</v>
      </c>
      <c r="K112" t="s">
        <v>24</v>
      </c>
      <c r="L112" t="s">
        <v>48</v>
      </c>
      <c r="M112">
        <v>5</v>
      </c>
      <c r="N112" t="str">
        <f>_xlfn.XLOOKUP(M:M,Sheet2!B:B,Sheet2!A:A)</f>
        <v>Friday</v>
      </c>
    </row>
    <row r="113" spans="1:14" x14ac:dyDescent="0.3">
      <c r="A113" s="1">
        <v>46208</v>
      </c>
      <c r="B113" t="s">
        <v>20</v>
      </c>
      <c r="C113" s="2">
        <v>0.66666666666666663</v>
      </c>
      <c r="D113" s="2">
        <v>0.82291666666666663</v>
      </c>
      <c r="E113">
        <v>3.75</v>
      </c>
      <c r="F113">
        <v>78.03</v>
      </c>
      <c r="G113">
        <v>16.399999999999999</v>
      </c>
      <c r="H113">
        <v>8</v>
      </c>
      <c r="I113">
        <v>4.76</v>
      </c>
      <c r="J113" t="s">
        <v>14</v>
      </c>
      <c r="K113" t="s">
        <v>15</v>
      </c>
      <c r="L113" t="s">
        <v>46</v>
      </c>
      <c r="M113">
        <v>0</v>
      </c>
      <c r="N113" t="str">
        <f>_xlfn.XLOOKUP(M:M,Sheet2!B:B,Sheet2!A:A)</f>
        <v>Sunday</v>
      </c>
    </row>
    <row r="114" spans="1:14" x14ac:dyDescent="0.3">
      <c r="A114" s="1">
        <v>46213</v>
      </c>
      <c r="B114" t="s">
        <v>13</v>
      </c>
      <c r="C114" s="2">
        <v>0.70833333333333337</v>
      </c>
      <c r="D114" s="2">
        <v>0.83333333333333337</v>
      </c>
      <c r="E114">
        <v>3</v>
      </c>
      <c r="F114">
        <v>58.37</v>
      </c>
      <c r="G114">
        <v>8</v>
      </c>
      <c r="H114">
        <v>5</v>
      </c>
      <c r="I114">
        <v>7.3</v>
      </c>
      <c r="J114" t="s">
        <v>18</v>
      </c>
      <c r="K114" t="s">
        <v>15</v>
      </c>
      <c r="L114" t="s">
        <v>47</v>
      </c>
      <c r="M114">
        <v>5</v>
      </c>
      <c r="N114" t="str">
        <f>_xlfn.XLOOKUP(M:M,Sheet2!B:B,Sheet2!A:A)</f>
        <v>Friday</v>
      </c>
    </row>
    <row r="115" spans="1:14" x14ac:dyDescent="0.3">
      <c r="A115" s="1">
        <v>46214</v>
      </c>
      <c r="B115" t="s">
        <v>22</v>
      </c>
      <c r="C115" s="2">
        <v>0.6875</v>
      </c>
      <c r="D115" s="2">
        <v>0.8125</v>
      </c>
      <c r="E115">
        <v>3</v>
      </c>
      <c r="F115">
        <v>61.89</v>
      </c>
      <c r="G115">
        <v>9.6999999999999993</v>
      </c>
      <c r="H115">
        <v>7</v>
      </c>
      <c r="I115">
        <v>6.38</v>
      </c>
      <c r="J115" t="s">
        <v>18</v>
      </c>
      <c r="K115" t="s">
        <v>24</v>
      </c>
      <c r="L115" t="s">
        <v>48</v>
      </c>
      <c r="M115">
        <v>6</v>
      </c>
      <c r="N115" t="str">
        <f>_xlfn.XLOOKUP(M:M,Sheet2!B:B,Sheet2!A:A)</f>
        <v>Saturday</v>
      </c>
    </row>
    <row r="116" spans="1:14" x14ac:dyDescent="0.3">
      <c r="A116" s="1">
        <v>46215</v>
      </c>
      <c r="B116" t="s">
        <v>22</v>
      </c>
      <c r="C116" s="2">
        <v>0.70833333333333337</v>
      </c>
      <c r="D116" s="2">
        <v>0.82291666666666663</v>
      </c>
      <c r="E116">
        <v>2.75</v>
      </c>
      <c r="F116">
        <v>56.87</v>
      </c>
      <c r="G116">
        <v>12.2</v>
      </c>
      <c r="H116">
        <v>6</v>
      </c>
      <c r="I116">
        <v>4.66</v>
      </c>
      <c r="J116" t="s">
        <v>18</v>
      </c>
      <c r="K116" t="s">
        <v>24</v>
      </c>
      <c r="L116" t="s">
        <v>48</v>
      </c>
      <c r="M116">
        <v>0</v>
      </c>
      <c r="N116" t="str">
        <f>_xlfn.XLOOKUP(M:M,Sheet2!B:B,Sheet2!A:A)</f>
        <v>Sunday</v>
      </c>
    </row>
    <row r="117" spans="1:14" x14ac:dyDescent="0.3">
      <c r="A117" s="1">
        <v>46220</v>
      </c>
      <c r="B117" t="s">
        <v>42</v>
      </c>
      <c r="C117" s="2">
        <v>0.75</v>
      </c>
      <c r="D117" s="2">
        <v>0.91666666666666663</v>
      </c>
      <c r="E117">
        <v>4</v>
      </c>
      <c r="F117">
        <v>92.15</v>
      </c>
      <c r="G117">
        <v>14.4</v>
      </c>
      <c r="H117">
        <v>10</v>
      </c>
      <c r="I117">
        <v>6.4</v>
      </c>
      <c r="J117" t="s">
        <v>18</v>
      </c>
      <c r="K117" t="s">
        <v>24</v>
      </c>
      <c r="L117" t="s">
        <v>46</v>
      </c>
      <c r="M117">
        <v>5</v>
      </c>
      <c r="N117" t="str">
        <f>_xlfn.XLOOKUP(M:M,Sheet2!B:B,Sheet2!A:A)</f>
        <v>Friday</v>
      </c>
    </row>
    <row r="118" spans="1:14" x14ac:dyDescent="0.3">
      <c r="A118" s="1">
        <v>46221</v>
      </c>
      <c r="B118" t="s">
        <v>13</v>
      </c>
      <c r="C118" s="2">
        <v>0.72916666666666663</v>
      </c>
      <c r="D118" s="2">
        <v>0.85416666666666663</v>
      </c>
      <c r="E118">
        <v>3</v>
      </c>
      <c r="F118">
        <v>57.09</v>
      </c>
      <c r="G118">
        <v>11.3</v>
      </c>
      <c r="H118">
        <v>6</v>
      </c>
      <c r="I118">
        <v>5.05</v>
      </c>
      <c r="J118" t="s">
        <v>30</v>
      </c>
      <c r="K118" t="s">
        <v>24</v>
      </c>
      <c r="L118" t="s">
        <v>44</v>
      </c>
      <c r="M118">
        <v>6</v>
      </c>
      <c r="N118" t="str">
        <f>_xlfn.XLOOKUP(M:M,Sheet2!B:B,Sheet2!A:A)</f>
        <v>Saturday</v>
      </c>
    </row>
    <row r="119" spans="1:14" x14ac:dyDescent="0.3">
      <c r="A119" s="1">
        <v>46222</v>
      </c>
      <c r="B119" t="s">
        <v>13</v>
      </c>
      <c r="C119" s="2">
        <v>0.72916666666666663</v>
      </c>
      <c r="D119" s="2">
        <v>0.875</v>
      </c>
      <c r="E119">
        <v>3.5</v>
      </c>
      <c r="F119">
        <v>62.28</v>
      </c>
      <c r="G119">
        <v>9.8000000000000007</v>
      </c>
      <c r="H119">
        <v>7</v>
      </c>
      <c r="I119">
        <v>6.36</v>
      </c>
      <c r="J119" t="s">
        <v>18</v>
      </c>
      <c r="K119" t="s">
        <v>15</v>
      </c>
      <c r="L119" t="s">
        <v>48</v>
      </c>
      <c r="M119">
        <v>0</v>
      </c>
      <c r="N119" t="str">
        <f>_xlfn.XLOOKUP(M:M,Sheet2!B:B,Sheet2!A:A)</f>
        <v>Sunday</v>
      </c>
    </row>
  </sheetData>
  <autoFilter ref="A1:N119" xr:uid="{9A3D6565-B603-428A-B662-9FB5A2906182}">
    <filterColumn colId="13">
      <filters>
        <filter val="Friday"/>
        <filter val="Saturday"/>
        <filter val="Sunday"/>
      </filters>
    </filterColumn>
  </autoFilter>
  <conditionalFormatting sqref="I1:I1048576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>
        <cfvo type="percent" val="0"/>
        <cfvo type="num" val="0"/>
        <cfvo type="num" val="2"/>
      </iconSet>
    </cfRule>
    <cfRule type="iconSet" priority="1">
      <iconSet iconSet="4Arrows">
        <cfvo type="percent" val="0"/>
        <cfvo type="num" val="1"/>
        <cfvo type="num" val="2"/>
        <cfvo type="num" val="2.5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984A-85A0-446F-8653-A3FA379F8EE5}">
  <dimension ref="A1:B8"/>
  <sheetViews>
    <sheetView workbookViewId="0">
      <selection activeCell="B1" sqref="B1"/>
    </sheetView>
  </sheetViews>
  <sheetFormatPr defaultRowHeight="14.4" x14ac:dyDescent="0.3"/>
  <cols>
    <col min="1" max="1" width="12" bestFit="1" customWidth="1"/>
    <col min="2" max="2" width="12.77734375" bestFit="1" customWidth="1"/>
  </cols>
  <sheetData>
    <row r="1" spans="1:2" x14ac:dyDescent="0.3">
      <c r="A1" s="5" t="s">
        <v>54</v>
      </c>
      <c r="B1" s="5" t="s">
        <v>63</v>
      </c>
    </row>
    <row r="2" spans="1:2" x14ac:dyDescent="0.3">
      <c r="A2" t="s">
        <v>55</v>
      </c>
      <c r="B2">
        <v>0</v>
      </c>
    </row>
    <row r="3" spans="1:2" x14ac:dyDescent="0.3">
      <c r="A3" t="s">
        <v>56</v>
      </c>
      <c r="B3">
        <v>1</v>
      </c>
    </row>
    <row r="4" spans="1:2" x14ac:dyDescent="0.3">
      <c r="A4" t="s">
        <v>57</v>
      </c>
      <c r="B4">
        <v>2</v>
      </c>
    </row>
    <row r="5" spans="1:2" x14ac:dyDescent="0.3">
      <c r="A5" t="s">
        <v>58</v>
      </c>
      <c r="B5">
        <v>3</v>
      </c>
    </row>
    <row r="6" spans="1:2" x14ac:dyDescent="0.3">
      <c r="A6" t="s">
        <v>59</v>
      </c>
      <c r="B6">
        <v>4</v>
      </c>
    </row>
    <row r="7" spans="1:2" x14ac:dyDescent="0.3">
      <c r="A7" t="s">
        <v>60</v>
      </c>
      <c r="B7">
        <v>5</v>
      </c>
    </row>
    <row r="8" spans="1:2" x14ac:dyDescent="0.3">
      <c r="A8" t="s">
        <v>61</v>
      </c>
      <c r="B8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hrs_dollars_per_shift</vt:lpstr>
      <vt:lpstr>dollar_per_mile</vt:lpstr>
      <vt:lpstr>avg_earnings_shift_type_day</vt:lpstr>
      <vt:lpstr>Sheet1</vt:lpstr>
      <vt:lpstr>Money_by_day</vt:lpstr>
      <vt:lpstr>zone_earnings_by_busy_days</vt:lpstr>
      <vt:lpstr>Doordash_Synthetic_Performance_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Rafael</dc:creator>
  <cp:lastModifiedBy>Nico Rafael</cp:lastModifiedBy>
  <dcterms:created xsi:type="dcterms:W3CDTF">2026-08-02T00:03:32Z</dcterms:created>
  <dcterms:modified xsi:type="dcterms:W3CDTF">2026-08-02T18:39:37Z</dcterms:modified>
</cp:coreProperties>
</file>